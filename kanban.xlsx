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DD79268A-DB31-4542-8D36-30FCBD0200D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kanban" sheetId="18" r:id="rId1"/>
    <sheet name="part c-100%" sheetId="16" r:id="rId2"/>
    <sheet name="Sheet1" sheetId="19" r:id="rId3"/>
  </sheets>
  <definedNames>
    <definedName name="_xlnm._FilterDatabase" localSheetId="0" hidden="1">kanban!$A$5:$L$227</definedName>
    <definedName name="_xlnm._FilterDatabase" localSheetId="1" hidden="1">'part c-100%'!$A$6:$E$155</definedName>
    <definedName name="_xlnm.Print_Area" localSheetId="0">kanban!$A$3:$L$219</definedName>
    <definedName name="_xlnm.Print_Area" localSheetId="2">Sheet1!$C$6:$D$24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90" i="18" l="1"/>
  <c r="G124" i="18"/>
  <c r="G93" i="18"/>
  <c r="G28" i="18"/>
  <c r="G13" i="18"/>
  <c r="G11" i="18"/>
  <c r="G9" i="18"/>
  <c r="G7" i="18"/>
  <c r="G191" i="18" l="1"/>
  <c r="G215" i="18" s="1"/>
  <c r="G216" i="18" l="1"/>
  <c r="K226" i="18"/>
  <c r="L226" i="18"/>
  <c r="K220" i="18" l="1"/>
  <c r="L220" i="18"/>
  <c r="K221" i="18"/>
  <c r="L221" i="18"/>
  <c r="K222" i="18"/>
  <c r="L222" i="18"/>
  <c r="K223" i="18"/>
  <c r="L223" i="18"/>
  <c r="K224" i="18"/>
  <c r="L224" i="18"/>
  <c r="K225" i="18"/>
  <c r="L225" i="18"/>
  <c r="K197" i="18" l="1"/>
  <c r="L197" i="18"/>
  <c r="K198" i="18"/>
  <c r="L198" i="18"/>
  <c r="K199" i="18"/>
  <c r="L199" i="18"/>
  <c r="K200" i="18"/>
  <c r="L200" i="18"/>
  <c r="K201" i="18"/>
  <c r="L201" i="18"/>
  <c r="K202" i="18"/>
  <c r="L202" i="18"/>
  <c r="K203" i="18"/>
  <c r="L203" i="18"/>
  <c r="K204" i="18"/>
  <c r="L204" i="18"/>
  <c r="K205" i="18"/>
  <c r="L205" i="18"/>
  <c r="K206" i="18"/>
  <c r="L206" i="18"/>
  <c r="K207" i="18"/>
  <c r="L207" i="18"/>
  <c r="K208" i="18"/>
  <c r="L208" i="18"/>
  <c r="K209" i="18"/>
  <c r="L209" i="18"/>
  <c r="K210" i="18"/>
  <c r="L210" i="18"/>
  <c r="K211" i="18"/>
  <c r="L211" i="18"/>
  <c r="K212" i="18"/>
  <c r="L212" i="18"/>
  <c r="K213" i="18"/>
  <c r="L213" i="18"/>
  <c r="K214" i="18"/>
  <c r="L214" i="18"/>
  <c r="K215" i="18"/>
  <c r="L215" i="18"/>
  <c r="K216" i="18"/>
  <c r="L216" i="18"/>
  <c r="K217" i="18"/>
  <c r="L217" i="18"/>
  <c r="K218" i="18"/>
  <c r="L218" i="18"/>
  <c r="K219" i="18"/>
  <c r="L219" i="18"/>
  <c r="L196" i="18" l="1"/>
  <c r="K196" i="18"/>
  <c r="L195" i="18"/>
  <c r="K195" i="18"/>
  <c r="L194" i="18"/>
  <c r="K194" i="18"/>
  <c r="L193" i="18"/>
  <c r="K193" i="18"/>
  <c r="L192" i="18"/>
  <c r="K192" i="18"/>
  <c r="L191" i="18"/>
  <c r="K191" i="18"/>
  <c r="L190" i="18"/>
  <c r="K190" i="18"/>
  <c r="L189" i="18"/>
  <c r="K189" i="18"/>
  <c r="L188" i="18"/>
  <c r="K188" i="18"/>
  <c r="L187" i="18"/>
  <c r="K187" i="18"/>
  <c r="L186" i="18"/>
  <c r="K186" i="18"/>
  <c r="L185" i="18"/>
  <c r="K185" i="18"/>
  <c r="L184" i="18"/>
  <c r="K184" i="18"/>
  <c r="L183" i="18"/>
  <c r="K183" i="18"/>
  <c r="L182" i="18"/>
  <c r="K182" i="18"/>
  <c r="K6" i="18" l="1"/>
  <c r="K7" i="18"/>
  <c r="K8" i="18"/>
  <c r="K9" i="18"/>
  <c r="K10" i="18"/>
  <c r="K11" i="18"/>
  <c r="K12" i="18"/>
  <c r="K13" i="18"/>
  <c r="K14" i="18"/>
  <c r="K15" i="18"/>
  <c r="K16" i="18"/>
  <c r="K17" i="18"/>
  <c r="K18" i="18"/>
  <c r="K19" i="18"/>
  <c r="K20" i="18"/>
  <c r="K21" i="18"/>
  <c r="K22" i="18"/>
  <c r="K23" i="18"/>
  <c r="K24" i="18"/>
  <c r="K25" i="18"/>
  <c r="K26" i="18"/>
  <c r="K27" i="18"/>
  <c r="K28" i="18"/>
  <c r="K29" i="18"/>
  <c r="K30" i="18"/>
  <c r="K31" i="18"/>
  <c r="K32" i="18"/>
  <c r="K33" i="18"/>
  <c r="K34" i="18"/>
  <c r="K35" i="18"/>
  <c r="K36" i="18"/>
  <c r="K37" i="18"/>
  <c r="K38" i="18"/>
  <c r="K39" i="18"/>
  <c r="K40" i="18"/>
  <c r="K41" i="18"/>
  <c r="K42" i="18"/>
  <c r="K43" i="18"/>
  <c r="K44" i="18"/>
  <c r="K45" i="18"/>
  <c r="K46" i="18"/>
  <c r="K47" i="18"/>
  <c r="K48" i="18"/>
  <c r="K49" i="18"/>
  <c r="K50" i="18"/>
  <c r="K51" i="18"/>
  <c r="K52" i="18"/>
  <c r="K53" i="18"/>
  <c r="K54" i="18"/>
  <c r="K55" i="18"/>
  <c r="K56" i="18"/>
  <c r="K57" i="18"/>
  <c r="K58" i="18"/>
  <c r="K59" i="18"/>
  <c r="K60" i="18"/>
  <c r="K61" i="18"/>
  <c r="K62" i="18"/>
  <c r="K63" i="18"/>
  <c r="K64" i="18"/>
  <c r="K65" i="18"/>
  <c r="K66" i="18"/>
  <c r="K67" i="18"/>
  <c r="K68" i="18"/>
  <c r="K69" i="18"/>
  <c r="K70" i="18"/>
  <c r="K71" i="18"/>
  <c r="K72" i="18"/>
  <c r="K73" i="18"/>
  <c r="K74" i="18"/>
  <c r="K75" i="18"/>
  <c r="K76" i="18"/>
  <c r="K77" i="18"/>
  <c r="K78" i="18"/>
  <c r="K79" i="18"/>
  <c r="K80" i="18"/>
  <c r="K81" i="18"/>
  <c r="K82" i="18"/>
  <c r="K83" i="18"/>
  <c r="K84" i="18"/>
  <c r="K85" i="18"/>
  <c r="K86" i="18"/>
  <c r="K87" i="18"/>
  <c r="K88" i="18"/>
  <c r="K89" i="18"/>
  <c r="K90" i="18"/>
  <c r="K91" i="18"/>
  <c r="K92" i="18"/>
  <c r="K93" i="18"/>
  <c r="K94" i="18"/>
  <c r="K95" i="18"/>
  <c r="K96" i="18"/>
  <c r="K97" i="18"/>
  <c r="K98" i="18"/>
  <c r="K99" i="18"/>
  <c r="K100" i="18"/>
  <c r="K101" i="18"/>
  <c r="K102" i="18"/>
  <c r="K103" i="18"/>
  <c r="K104" i="18"/>
  <c r="K105" i="18"/>
  <c r="K106" i="18"/>
  <c r="K107" i="18"/>
  <c r="K108" i="18"/>
  <c r="K109" i="18"/>
  <c r="K110" i="18"/>
  <c r="K111" i="18"/>
  <c r="K112" i="18"/>
  <c r="K113" i="18"/>
  <c r="K114" i="18"/>
  <c r="K115" i="18"/>
  <c r="K116" i="18"/>
  <c r="K117" i="18"/>
  <c r="K118" i="18"/>
  <c r="K119" i="18"/>
  <c r="K120" i="18"/>
  <c r="K121" i="18"/>
  <c r="K122" i="18"/>
  <c r="K123" i="18"/>
  <c r="K124" i="18"/>
  <c r="K125" i="18"/>
  <c r="K126" i="18"/>
  <c r="K127" i="18"/>
  <c r="K128" i="18"/>
  <c r="K129" i="18"/>
  <c r="K130" i="18"/>
  <c r="K131" i="18"/>
  <c r="K132" i="18"/>
  <c r="K133" i="18"/>
  <c r="K134" i="18"/>
  <c r="K135" i="18"/>
  <c r="K136" i="18"/>
  <c r="K137" i="18"/>
  <c r="K138" i="18"/>
  <c r="K139" i="18"/>
  <c r="K140" i="18"/>
  <c r="K141" i="18"/>
  <c r="K142" i="18"/>
  <c r="K143" i="18"/>
  <c r="K144" i="18"/>
  <c r="K145" i="18"/>
  <c r="K146" i="18"/>
  <c r="K147" i="18"/>
  <c r="K148" i="18"/>
  <c r="K149" i="18"/>
  <c r="K150" i="18"/>
  <c r="K151" i="18"/>
  <c r="K152" i="18"/>
  <c r="K153" i="18"/>
  <c r="K154" i="18"/>
  <c r="K155" i="18"/>
  <c r="K156" i="18"/>
  <c r="K157" i="18"/>
  <c r="K158" i="18"/>
  <c r="K159" i="18"/>
  <c r="K160" i="18"/>
  <c r="K161" i="18"/>
  <c r="K162" i="18"/>
  <c r="K163" i="18"/>
  <c r="K164" i="18"/>
  <c r="K165" i="18"/>
  <c r="K166" i="18"/>
  <c r="K167" i="18"/>
  <c r="K168" i="18"/>
  <c r="K169" i="18"/>
  <c r="K170" i="18"/>
  <c r="K171" i="18"/>
  <c r="K172" i="18"/>
  <c r="K173" i="18"/>
  <c r="K174" i="18"/>
  <c r="K175" i="18"/>
  <c r="K176" i="18"/>
  <c r="K177" i="18"/>
  <c r="K178" i="18"/>
  <c r="K179" i="18"/>
  <c r="K180" i="18"/>
  <c r="K181" i="18"/>
  <c r="L7" i="18" l="1"/>
  <c r="L8" i="18"/>
  <c r="L9" i="18"/>
  <c r="L10" i="18"/>
  <c r="L11" i="18"/>
  <c r="L12" i="18"/>
  <c r="L13" i="18"/>
  <c r="L14" i="18"/>
  <c r="L15" i="18"/>
  <c r="L16" i="18"/>
  <c r="L17" i="18"/>
  <c r="L18" i="18"/>
  <c r="L19" i="18"/>
  <c r="L20" i="18"/>
  <c r="L21" i="18"/>
  <c r="L22" i="18"/>
  <c r="L23" i="18"/>
  <c r="L24" i="18"/>
  <c r="L25" i="18"/>
  <c r="L26" i="18"/>
  <c r="L27" i="18"/>
  <c r="L28" i="18"/>
  <c r="L29" i="18"/>
  <c r="L30" i="18"/>
  <c r="L31" i="18"/>
  <c r="L32" i="18"/>
  <c r="L33" i="18"/>
  <c r="L34" i="18"/>
  <c r="L35" i="18"/>
  <c r="L36" i="18"/>
  <c r="L37" i="18"/>
  <c r="L38" i="18"/>
  <c r="L39" i="18"/>
  <c r="L40" i="18"/>
  <c r="L41" i="18"/>
  <c r="L42" i="18"/>
  <c r="L43" i="18"/>
  <c r="L44" i="18"/>
  <c r="L45" i="18"/>
  <c r="L46" i="18"/>
  <c r="L47" i="18"/>
  <c r="L48" i="18"/>
  <c r="L49" i="18"/>
  <c r="L50" i="18"/>
  <c r="L51" i="18"/>
  <c r="L52" i="18"/>
  <c r="L53" i="18"/>
  <c r="L54" i="18"/>
  <c r="L55" i="18"/>
  <c r="L56" i="18"/>
  <c r="L57" i="18"/>
  <c r="L58" i="18"/>
  <c r="L59" i="18"/>
  <c r="L60" i="18"/>
  <c r="L61" i="18"/>
  <c r="L62" i="18"/>
  <c r="L63" i="18"/>
  <c r="L64" i="18"/>
  <c r="L65" i="18"/>
  <c r="L66" i="18"/>
  <c r="L67" i="18"/>
  <c r="L68" i="18"/>
  <c r="L69" i="18"/>
  <c r="L70" i="18"/>
  <c r="L71" i="18"/>
  <c r="L72" i="18"/>
  <c r="L73" i="18"/>
  <c r="L74" i="18"/>
  <c r="L75" i="18"/>
  <c r="L76" i="18"/>
  <c r="L77" i="18"/>
  <c r="L78" i="18"/>
  <c r="L79" i="18"/>
  <c r="L80" i="18"/>
  <c r="L81" i="18"/>
  <c r="L82" i="18"/>
  <c r="L83" i="18"/>
  <c r="L84" i="18"/>
  <c r="L85" i="18"/>
  <c r="L86" i="18"/>
  <c r="L87" i="18"/>
  <c r="L88" i="18"/>
  <c r="L89" i="18"/>
  <c r="L90" i="18"/>
  <c r="L91" i="18"/>
  <c r="L92" i="18"/>
  <c r="L93" i="18"/>
  <c r="L94" i="18"/>
  <c r="L95" i="18"/>
  <c r="L96" i="18"/>
  <c r="L97" i="18"/>
  <c r="L98" i="18"/>
  <c r="L99" i="18"/>
  <c r="L100" i="18"/>
  <c r="L101" i="18"/>
  <c r="L102" i="18"/>
  <c r="L103" i="18"/>
  <c r="L104" i="18"/>
  <c r="L105" i="18"/>
  <c r="L106" i="18"/>
  <c r="L107" i="18"/>
  <c r="L108" i="18"/>
  <c r="L109" i="18"/>
  <c r="L110" i="18"/>
  <c r="L111" i="18"/>
  <c r="L112" i="18"/>
  <c r="L113" i="18"/>
  <c r="L114" i="18"/>
  <c r="L115" i="18"/>
  <c r="L116" i="18"/>
  <c r="L117" i="18"/>
  <c r="L118" i="18"/>
  <c r="L119" i="18"/>
  <c r="L120" i="18"/>
  <c r="L121" i="18"/>
  <c r="L122" i="18"/>
  <c r="L123" i="18"/>
  <c r="L124" i="18"/>
  <c r="L125" i="18"/>
  <c r="L126" i="18"/>
  <c r="L127" i="18"/>
  <c r="L128" i="18"/>
  <c r="L129" i="18"/>
  <c r="L130" i="18"/>
  <c r="L131" i="18"/>
  <c r="L132" i="18"/>
  <c r="L133" i="18"/>
  <c r="L134" i="18"/>
  <c r="L135" i="18"/>
  <c r="L136" i="18"/>
  <c r="L137" i="18"/>
  <c r="L138" i="18"/>
  <c r="L139" i="18"/>
  <c r="L140" i="18"/>
  <c r="L141" i="18"/>
  <c r="L142" i="18"/>
  <c r="L143" i="18"/>
  <c r="L144" i="18"/>
  <c r="L145" i="18"/>
  <c r="L146" i="18"/>
  <c r="L147" i="18"/>
  <c r="L148" i="18"/>
  <c r="L149" i="18"/>
  <c r="L150" i="18"/>
  <c r="L151" i="18"/>
  <c r="L152" i="18"/>
  <c r="L153" i="18"/>
  <c r="L154" i="18"/>
  <c r="L155" i="18"/>
  <c r="L156" i="18"/>
  <c r="L157" i="18"/>
  <c r="L158" i="18"/>
  <c r="L159" i="18"/>
  <c r="L160" i="18"/>
  <c r="L161" i="18"/>
  <c r="L162" i="18"/>
  <c r="L163" i="18"/>
  <c r="L164" i="18"/>
  <c r="L165" i="18"/>
  <c r="L166" i="18"/>
  <c r="L167" i="18"/>
  <c r="L168" i="18"/>
  <c r="L169" i="18"/>
  <c r="L170" i="18"/>
  <c r="L171" i="18"/>
  <c r="L172" i="18"/>
  <c r="L173" i="18"/>
  <c r="L174" i="18"/>
  <c r="L175" i="18"/>
  <c r="L176" i="18"/>
  <c r="L177" i="18"/>
  <c r="L178" i="18"/>
  <c r="L179" i="18"/>
  <c r="L180" i="18"/>
  <c r="L181" i="18"/>
  <c r="L6" i="1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2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double</t>
        </r>
      </text>
    </comment>
    <comment ref="C34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tidak ada</t>
        </r>
      </text>
    </comment>
    <comment ref="C60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Delivery Tenma Tidak ada di Kanban Epson</t>
        </r>
      </text>
    </comment>
    <comment ref="C6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Delivery Tenma Tidak ada di Kanban Epson</t>
        </r>
      </text>
    </comment>
    <comment ref="C62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Delivery Tenma Tidak ada di Kanban Epson</t>
        </r>
      </text>
    </comment>
    <comment ref="C64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sudah ganti tidak ada lagi</t>
        </r>
      </text>
    </comment>
    <comment ref="C65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sudah ganti tidak ada lagi</t>
        </r>
      </text>
    </comment>
    <comment ref="C66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udah ganti tidak ada lagi</t>
        </r>
      </text>
    </comment>
    <comment ref="C67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udah ganti tidak ada lagi</t>
        </r>
      </text>
    </comment>
    <comment ref="C74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pindah ke MEI</t>
        </r>
      </text>
    </comment>
    <comment ref="C75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Author:
Delivery Mei Tidak ada di Kanban Epson</t>
        </r>
      </text>
    </comment>
    <comment ref="C103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sudah tidak ada</t>
        </r>
      </text>
    </comment>
    <comment ref="C114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delivery pindah ke MEI</t>
        </r>
      </text>
    </comment>
    <comment ref="C115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pindah ke MEI</t>
        </r>
      </text>
    </comment>
    <comment ref="C144" authorId="0" shapeId="0" xr:uid="{00000000-0006-0000-0100-00000F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Delivery Patco Tidak ada di Kanban Epson</t>
        </r>
      </text>
    </comment>
    <comment ref="C145" authorId="0" shapeId="0" xr:uid="{00000000-0006-0000-0100-000010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Delivery Patco Tidak ada di Kanban Epson</t>
        </r>
      </text>
    </comment>
    <comment ref="C146" authorId="0" shapeId="0" xr:uid="{00000000-0006-0000-0100-00001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tdk ada</t>
        </r>
      </text>
    </comment>
    <comment ref="C148" authorId="0" shapeId="0" xr:uid="{00000000-0006-0000-0100-00001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pindah ke MEI</t>
        </r>
      </text>
    </comment>
    <comment ref="C152" authorId="0" shapeId="0" xr:uid="{00000000-0006-0000-0100-00001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tidak adaa ganti holder ih left b</t>
        </r>
      </text>
    </comment>
  </commentList>
</comments>
</file>

<file path=xl/sharedStrings.xml><?xml version="1.0" encoding="utf-8"?>
<sst xmlns="http://schemas.openxmlformats.org/spreadsheetml/2006/main" count="3061" uniqueCount="1011">
  <si>
    <t>NO</t>
  </si>
  <si>
    <t>PART NAME</t>
  </si>
  <si>
    <t>PART NO</t>
  </si>
  <si>
    <t>MODEL</t>
  </si>
  <si>
    <t>COVER,TOP;B</t>
  </si>
  <si>
    <t>HOLDER,FRONT,RIGHT,RECYCLE</t>
  </si>
  <si>
    <t>COVER,TOP;C</t>
  </si>
  <si>
    <t>COVER,REAR,ADF;B</t>
  </si>
  <si>
    <t>COVER,FRONT,ADF;B</t>
  </si>
  <si>
    <t>COVER,TOP</t>
  </si>
  <si>
    <t>COVER,SLOT,LEFT;B</t>
  </si>
  <si>
    <t>HOLDER,IH,LEFT</t>
  </si>
  <si>
    <t>COVER,DOOR</t>
  </si>
  <si>
    <t>COVER,HARNESS,FRONT,PANEL CUT,BU</t>
  </si>
  <si>
    <t>TRAY,INK PACK</t>
  </si>
  <si>
    <t>HOUSING,FRONT,LEFT</t>
  </si>
  <si>
    <t>GUTTER,INK,EJECT,24</t>
  </si>
  <si>
    <t>PAPER GUIDE,MIDDLE,MPT</t>
  </si>
  <si>
    <t>COVER,SLOT,EDGE</t>
  </si>
  <si>
    <t>PAPER GUIDE,ROLL,INSIDE,12,RECYCLE</t>
  </si>
  <si>
    <t>PAPER GUIDE,EJ,LOWER,OIF</t>
  </si>
  <si>
    <t>FLAP,BF</t>
  </si>
  <si>
    <t>COVER,RIGHT,BF</t>
  </si>
  <si>
    <t>HOLDER,IH,LOWER,GJ</t>
  </si>
  <si>
    <t>HOLDER,IH,LOWER,GW</t>
  </si>
  <si>
    <t>HOLDER,IH,LOWER,RW</t>
  </si>
  <si>
    <t>HOLDER,IH,LOWER,RJ</t>
  </si>
  <si>
    <t>LIGHT GUIDE,PNL</t>
  </si>
  <si>
    <t>PAPER GUIDE,EJ,UPPER,OIF</t>
  </si>
  <si>
    <t>GUIDE,HEAD,FRONT,HM</t>
  </si>
  <si>
    <t>MOUNTING PLATE,PAPER GUIDE,FRONT,ASF</t>
  </si>
  <si>
    <t>COVER,MIDDLE,STACKER</t>
  </si>
  <si>
    <t>PAPER GUIDE,FRONT,ASF</t>
  </si>
  <si>
    <t>HOUSING,MOISTURIZER,LOWER</t>
  </si>
  <si>
    <t>HOLDER,FRONT,RIGHT</t>
  </si>
  <si>
    <t>FLAP,EJ,24</t>
  </si>
  <si>
    <t>TRAY,SUPPORT,REAR LOWER,CD,E,F1;B</t>
  </si>
  <si>
    <t>TRAY,SUPPORT,FRONT LOWER,CD,E,F1;B</t>
  </si>
  <si>
    <t>COVER,CASSETTE;B</t>
  </si>
  <si>
    <t>COVER,CASSETTE</t>
  </si>
  <si>
    <t>HOLDER,BOARD,DETECT,MD</t>
  </si>
  <si>
    <t>HOUSING,BOTTLE HOLDER,ICH</t>
  </si>
  <si>
    <t>PAPER GUIDE,ROLL,INSIDE,12</t>
  </si>
  <si>
    <t>PAPER GUIDE,ROLL,ENTRANCE,UPPER,12</t>
  </si>
  <si>
    <t>PAPER GUIDE,ROLL,JUNCTION,12</t>
  </si>
  <si>
    <t>FRAME,HOLDER,INK EJECT,IE</t>
  </si>
  <si>
    <t>COVER,BOTTOM</t>
  </si>
  <si>
    <t>HOLDER,COVER,PRINTER</t>
  </si>
  <si>
    <t>GUIDE,SHAFT,ROLLER,DRIVEN,WEB,BCL</t>
  </si>
  <si>
    <t>PAPER GUIDE,SUPPORT,12,A</t>
  </si>
  <si>
    <t>GUTTER, INK EJECT</t>
  </si>
  <si>
    <t>HOUSING,TOP,FRONT,CENTER</t>
  </si>
  <si>
    <t>HOUSING,FRONT,RIGHT</t>
  </si>
  <si>
    <t>COVER,ASF</t>
  </si>
  <si>
    <t>HOUSING,REAR,E</t>
  </si>
  <si>
    <t>HOUSING,REAR,D</t>
  </si>
  <si>
    <t>GUIDE,CAP,KEEP,HIR</t>
  </si>
  <si>
    <t>COVER,LOCK,SPINDLE,FULL</t>
  </si>
  <si>
    <t>COVER,LOCK,SPINDLE,HOME</t>
  </si>
  <si>
    <t>COVER,FFC,CR,20</t>
  </si>
  <si>
    <t>PULLEY,MIDDLE,SPACER</t>
  </si>
  <si>
    <t>COLOR BLOCK,IH,TE</t>
  </si>
  <si>
    <t>COLOR BLOCK,IH,SB</t>
  </si>
  <si>
    <t>COLOR BLOCK,IH,RC</t>
  </si>
  <si>
    <t>COLOR BLOCK,IH,QF</t>
  </si>
  <si>
    <t>COLOR BLOCK,IH,PJ</t>
  </si>
  <si>
    <t>COLOR BLOCK,IH,OH</t>
  </si>
  <si>
    <t>COLOR BLOCK,IH,NA</t>
  </si>
  <si>
    <t>COLOR BLOCK,IH,MG</t>
  </si>
  <si>
    <t>COLOR BLOCK,IH,LI</t>
  </si>
  <si>
    <t>COLOR BLOCK,IH,KD</t>
  </si>
  <si>
    <t>COLOR BLOCK,IH,JO</t>
  </si>
  <si>
    <t>COLOR BLOCK,IH,IL</t>
  </si>
  <si>
    <t>COLOR BLOCK,IH,HM</t>
  </si>
  <si>
    <t>COLOR BLOCK,IH,GP</t>
  </si>
  <si>
    <t>COLOR BLOCK,IH,FT</t>
  </si>
  <si>
    <t>COLOR BLOCK,IH,ER</t>
  </si>
  <si>
    <t>COLOR, BLOCK,IH,DK</t>
  </si>
  <si>
    <t>COLOR BLOCK,IH,CQ</t>
  </si>
  <si>
    <t>COLOR BLOK,IH,BS</t>
  </si>
  <si>
    <t>COLOR BLOCK,IH,AN</t>
  </si>
  <si>
    <t>COVER,SUB</t>
  </si>
  <si>
    <t>TRAY,ASSIST</t>
  </si>
  <si>
    <t>COVER,PAPER GUIDE,UPPER,2,FI,MU2</t>
  </si>
  <si>
    <t>COSMETIC PLATE,PANEL</t>
  </si>
  <si>
    <t>TRAY,SUPPORT,REAR LOWER,CD,E,F1</t>
  </si>
  <si>
    <t>TRAY,SUPPORT,FRONT LOWER,CD,E,F1</t>
  </si>
  <si>
    <t>COVER,UPPER,HINJI,LEFT</t>
  </si>
  <si>
    <t>COVER,UPPER,HINJI,RIGHT</t>
  </si>
  <si>
    <t>COVER,UPPER,HINJI,LEFT;B</t>
  </si>
  <si>
    <t>COVER,UPPER,HINJI,RIGHT;B</t>
  </si>
  <si>
    <t>PAPER GUIDE,REAR</t>
  </si>
  <si>
    <t>GUIDE,TRAY,FRONT,LEFT</t>
  </si>
  <si>
    <t>FRAME,TOP,RIGHT</t>
  </si>
  <si>
    <t>CAP,HOUSING,LOWER,SUPPORT,LOWER</t>
  </si>
  <si>
    <t>CAP,HOUSING,LOWER,SUPPORT,MIDDLE</t>
  </si>
  <si>
    <t>CAP,HOUSING,LOWER,SUPPORT,UPPER</t>
  </si>
  <si>
    <t>SLIDER,LOCK,STAND</t>
  </si>
  <si>
    <t>HOLDER,FFC,CIS,SC</t>
  </si>
  <si>
    <t>CASE,MCB,F;AA</t>
  </si>
  <si>
    <t>HOLDER,LEVER,LOCK</t>
  </si>
  <si>
    <t>LINK,LOCK,RIPS</t>
  </si>
  <si>
    <t>COVER,HOPPER,RASF</t>
  </si>
  <si>
    <t>EDGE GUIDE,LEFT,RASF</t>
  </si>
  <si>
    <t>EDGE GUIDE,RIGHT,RASF</t>
  </si>
  <si>
    <t>COVER,PAPER GUIDE,UPPER,1,FI,MU2</t>
  </si>
  <si>
    <t>HOLDER,CABLE,CSIC</t>
  </si>
  <si>
    <t>HOLDER,INK,DETECTION</t>
  </si>
  <si>
    <t>CASE,MCB;AA</t>
  </si>
  <si>
    <t>CASE,REAR;AA</t>
  </si>
  <si>
    <t>LEVER,ASF,RIGHT</t>
  </si>
  <si>
    <t>LEVER,ASF,LEFT</t>
  </si>
  <si>
    <t>FLANGE,LEFT</t>
  </si>
  <si>
    <t>FLANGE,RIGHT</t>
  </si>
  <si>
    <t>PAPER GUIDE,UPPER,ROLL,SUB</t>
  </si>
  <si>
    <t>PAPER GUIDE,UPPER,ROLL</t>
  </si>
  <si>
    <t>COVER,SIDE,STAND,INNER,RIGHT</t>
  </si>
  <si>
    <t>COVER,SIDE,STAND,INNER,LEFT</t>
  </si>
  <si>
    <t>COVER,SIDE,STAND,OUTER</t>
  </si>
  <si>
    <t>KNOB,LOCK LEVER</t>
  </si>
  <si>
    <t>COVER,CRCM</t>
  </si>
  <si>
    <t>COVER,CABLE,HEAD</t>
  </si>
  <si>
    <t>HOLDER,CABLE,CR,MSRW</t>
  </si>
  <si>
    <t>NIHONBASHI</t>
  </si>
  <si>
    <t>OKITSU</t>
  </si>
  <si>
    <t>GLEE</t>
  </si>
  <si>
    <t>HIROSHIGE</t>
  </si>
  <si>
    <t>OTSU</t>
  </si>
  <si>
    <t>GROW</t>
  </si>
  <si>
    <t>RACOON</t>
  </si>
  <si>
    <t>NIKE</t>
  </si>
  <si>
    <t>OWEN</t>
  </si>
  <si>
    <t>HOKUSAI</t>
  </si>
  <si>
    <t>EPIC</t>
  </si>
  <si>
    <t>GAGA2-MU</t>
  </si>
  <si>
    <t>AERIS</t>
  </si>
  <si>
    <t>FN45</t>
  </si>
  <si>
    <t>AZURE</t>
  </si>
  <si>
    <t>AZALEA</t>
  </si>
  <si>
    <t>QA.DEPARTMENT</t>
  </si>
  <si>
    <t>OQC INJECTION</t>
  </si>
  <si>
    <t>GAGA2</t>
  </si>
  <si>
    <t>HOPKINS</t>
  </si>
  <si>
    <t>SUSHI</t>
  </si>
  <si>
    <t>PART GUARANTEE VISUAL C-100% - IEI</t>
  </si>
  <si>
    <t>HOUSING ,FRONT,RIGHT</t>
  </si>
  <si>
    <t>LOUVRE</t>
  </si>
  <si>
    <t>COVER HOUSING INK EJECT</t>
  </si>
  <si>
    <t>LIONEL 3</t>
  </si>
  <si>
    <t>CAUSE</t>
  </si>
  <si>
    <t>COVER,UPPER,HINGE,RIGHT;C</t>
  </si>
  <si>
    <t>COVER,UPPER,HINGE,LEFT;C</t>
  </si>
  <si>
    <t>COVER,UPPER,HINGE,LEFT</t>
  </si>
  <si>
    <t>COVER,UPPER,HINGE,RIGHT</t>
  </si>
  <si>
    <t>COVER,UPPER,HINGE,LEFT;B</t>
  </si>
  <si>
    <t>COVER,UPPER,HINGE,RIGHT;B</t>
  </si>
  <si>
    <t>PAPER SUPPORT,MPT</t>
  </si>
  <si>
    <t>PAPER SUPPORT,UPPER,MPT,PL</t>
  </si>
  <si>
    <t>PAPER SUPPORT,MPT;B</t>
  </si>
  <si>
    <t>PAPER SUPPORT,UPPER,MPT;B,PL,</t>
  </si>
  <si>
    <t>BACKGROUND PLATE,ADF</t>
  </si>
  <si>
    <t>FONTANA</t>
  </si>
  <si>
    <t>COVER,INNER;B</t>
  </si>
  <si>
    <t>HOLDER,BUFFER</t>
  </si>
  <si>
    <t>CODY</t>
  </si>
  <si>
    <t>TAKASTSU</t>
  </si>
  <si>
    <t>Flash</t>
  </si>
  <si>
    <t>Dirty</t>
  </si>
  <si>
    <t>Mixpart</t>
  </si>
  <si>
    <t>Short Mold</t>
  </si>
  <si>
    <t>Broken</t>
  </si>
  <si>
    <t>Oily</t>
  </si>
  <si>
    <t>Hair Mark</t>
  </si>
  <si>
    <t>Bending</t>
  </si>
  <si>
    <t>Twisting</t>
  </si>
  <si>
    <t>Silver</t>
  </si>
  <si>
    <t>Crack</t>
  </si>
  <si>
    <t>Warpage</t>
  </si>
  <si>
    <t>Scratch</t>
  </si>
  <si>
    <t>Under Cut</t>
  </si>
  <si>
    <t>Contamination</t>
  </si>
  <si>
    <t>Abnormal Shape</t>
  </si>
  <si>
    <t>Texture</t>
  </si>
  <si>
    <t>Print Date time :  </t>
  </si>
  <si>
    <t>No.</t>
  </si>
  <si>
    <t>Item Description</t>
  </si>
  <si>
    <t>Req. Date</t>
  </si>
  <si>
    <t>Qty</t>
  </si>
  <si>
    <t>Str.Loc</t>
  </si>
  <si>
    <t>Supply Area</t>
  </si>
  <si>
    <t>Remark</t>
  </si>
  <si>
    <t>D114 </t>
  </si>
  <si>
    <t>D11401 </t>
  </si>
  <si>
    <t>PAST(URGENT) </t>
  </si>
  <si>
    <t>106   </t>
  </si>
  <si>
    <t>191723200 </t>
  </si>
  <si>
    <t>HOLDER,MANUAL;B </t>
  </si>
  <si>
    <t>56 </t>
  </si>
  <si>
    <t>D116 </t>
  </si>
  <si>
    <t>D11601 </t>
  </si>
  <si>
    <t>176412101 </t>
  </si>
  <si>
    <t>HOLDER,CABLE,CSIC,INK EJECT </t>
  </si>
  <si>
    <t>176412000 </t>
  </si>
  <si>
    <t>COVER,HOUSING,INK EJECT </t>
  </si>
  <si>
    <t>173336001 </t>
  </si>
  <si>
    <t>188889702 </t>
  </si>
  <si>
    <t>HOUSING,UPPER,FRONT </t>
  </si>
  <si>
    <t>182996401 </t>
  </si>
  <si>
    <t>D11401A </t>
  </si>
  <si>
    <t>182996301 </t>
  </si>
  <si>
    <t>HOUSING,PANEL,UPPER </t>
  </si>
  <si>
    <t>200 </t>
  </si>
  <si>
    <t>105   </t>
  </si>
  <si>
    <t>180642201 </t>
  </si>
  <si>
    <t>30 </t>
  </si>
  <si>
    <t>182994701 </t>
  </si>
  <si>
    <t>182955104 </t>
  </si>
  <si>
    <t>50 </t>
  </si>
  <si>
    <t>180918602 </t>
  </si>
  <si>
    <t>180918002 </t>
  </si>
  <si>
    <t>180918402 </t>
  </si>
  <si>
    <t>180918202 </t>
  </si>
  <si>
    <t>179554201 </t>
  </si>
  <si>
    <t>LOCK,CR </t>
  </si>
  <si>
    <t>180774100 </t>
  </si>
  <si>
    <t>HOLDER,INK,DETECTION </t>
  </si>
  <si>
    <t>100 </t>
  </si>
  <si>
    <t>180917902 </t>
  </si>
  <si>
    <t>180918702 </t>
  </si>
  <si>
    <t>174601700 </t>
  </si>
  <si>
    <t>HOLDER,HOUSING,INK EJECT </t>
  </si>
  <si>
    <t>180917702 </t>
  </si>
  <si>
    <t>180918102 </t>
  </si>
  <si>
    <t>180918502 </t>
  </si>
  <si>
    <t>180918802 </t>
  </si>
  <si>
    <t>189390200 </t>
  </si>
  <si>
    <t>LEVER,LOCK,CR,KP </t>
  </si>
  <si>
    <t>180919102 </t>
  </si>
  <si>
    <t>186266502 </t>
  </si>
  <si>
    <t>HOLDER,BOARD,DETECT,MD </t>
  </si>
  <si>
    <t>193926600 </t>
  </si>
  <si>
    <t>D120 </t>
  </si>
  <si>
    <t>D12001 </t>
  </si>
  <si>
    <t>191716600 </t>
  </si>
  <si>
    <t>D12001B </t>
  </si>
  <si>
    <t>74   </t>
  </si>
  <si>
    <t>76   </t>
  </si>
  <si>
    <t>161294200 </t>
  </si>
  <si>
    <t>186263702 </t>
  </si>
  <si>
    <t>186281203 </t>
  </si>
  <si>
    <t>186757600 </t>
  </si>
  <si>
    <t>186778701 </t>
  </si>
  <si>
    <t>186286001 </t>
  </si>
  <si>
    <t>120 </t>
  </si>
  <si>
    <t>88   </t>
  </si>
  <si>
    <t>186778900 </t>
  </si>
  <si>
    <t>98   </t>
  </si>
  <si>
    <t>99   </t>
  </si>
  <si>
    <t>195733700 </t>
  </si>
  <si>
    <t>108   </t>
  </si>
  <si>
    <t>115   </t>
  </si>
  <si>
    <t>180691502 </t>
  </si>
  <si>
    <t>166702401 </t>
  </si>
  <si>
    <t>102   </t>
  </si>
  <si>
    <t>169023501 </t>
  </si>
  <si>
    <t>166702301 </t>
  </si>
  <si>
    <t>104   </t>
  </si>
  <si>
    <t>169023401 </t>
  </si>
  <si>
    <t>173665702 </t>
  </si>
  <si>
    <t>173665602 </t>
  </si>
  <si>
    <t>181907400 </t>
  </si>
  <si>
    <t>COVER,HARNESS,PS,1ST </t>
  </si>
  <si>
    <t>183737804 </t>
  </si>
  <si>
    <t>192951000 </t>
  </si>
  <si>
    <t>SUPPORT,STACKER,TLU;B </t>
  </si>
  <si>
    <t>186759802 </t>
  </si>
  <si>
    <t>PAPER GUIDE,MIDDLE,MPT </t>
  </si>
  <si>
    <t>75   </t>
  </si>
  <si>
    <t>186653403 </t>
  </si>
  <si>
    <t>GUIDE,HEAD,FRONT,HM </t>
  </si>
  <si>
    <t>78   </t>
  </si>
  <si>
    <t>90 </t>
  </si>
  <si>
    <t>81   </t>
  </si>
  <si>
    <t>82   </t>
  </si>
  <si>
    <t>186792101 </t>
  </si>
  <si>
    <t>72 </t>
  </si>
  <si>
    <t>107   </t>
  </si>
  <si>
    <t>111   </t>
  </si>
  <si>
    <t>113   </t>
  </si>
  <si>
    <t>114   </t>
  </si>
  <si>
    <t>116   </t>
  </si>
  <si>
    <t>180678301 </t>
  </si>
  <si>
    <t>180671901 </t>
  </si>
  <si>
    <t>173514801 </t>
  </si>
  <si>
    <t>173514900 </t>
  </si>
  <si>
    <t>184376403 </t>
  </si>
  <si>
    <t>187314901 </t>
  </si>
  <si>
    <t>188912801 </t>
  </si>
  <si>
    <t>184495509 </t>
  </si>
  <si>
    <t>174617201 </t>
    <phoneticPr fontId="3" type="noConversion"/>
  </si>
  <si>
    <t>HOLDER,ENC,ALD</t>
  </si>
  <si>
    <t>HOUSING,UPPER,FRONT</t>
  </si>
  <si>
    <t>HOUSING,PANEL,UPPER</t>
  </si>
  <si>
    <t>HOUSING,PANEL,LOWER</t>
  </si>
  <si>
    <t>eProcurement Request Item</t>
  </si>
  <si>
    <t>Item Code</t>
  </si>
  <si>
    <t>180917802 </t>
  </si>
  <si>
    <t>180918302 </t>
  </si>
  <si>
    <t>123   </t>
  </si>
  <si>
    <t>124   </t>
  </si>
  <si>
    <t>125   </t>
  </si>
  <si>
    <t>126   </t>
  </si>
  <si>
    <t>127   </t>
  </si>
  <si>
    <t>128   </t>
  </si>
  <si>
    <t>129   </t>
  </si>
  <si>
    <t>180919302 </t>
  </si>
  <si>
    <t>180919202 </t>
  </si>
  <si>
    <t>180919602 </t>
  </si>
  <si>
    <t>180919502 </t>
  </si>
  <si>
    <t>180918902 </t>
  </si>
  <si>
    <t>177266100 </t>
  </si>
  <si>
    <t>190119001 </t>
  </si>
  <si>
    <t>169683200 </t>
  </si>
  <si>
    <t>S3</t>
  </si>
  <si>
    <t>S1</t>
  </si>
  <si>
    <t>S2</t>
  </si>
  <si>
    <t>S2,3</t>
  </si>
  <si>
    <t>184328905 </t>
  </si>
  <si>
    <t>185192102 </t>
  </si>
  <si>
    <t>HOUSING,PANEL,LOWER </t>
  </si>
  <si>
    <t>192456700 </t>
  </si>
  <si>
    <t>LENS </t>
  </si>
  <si>
    <t>D11401B </t>
  </si>
  <si>
    <t>174617201 </t>
  </si>
  <si>
    <t>HOUSING,FRONT,RIGHT </t>
  </si>
  <si>
    <t>180690502 </t>
  </si>
  <si>
    <t>FRAME,HOLDER,INK EJECT,IE </t>
  </si>
  <si>
    <t>HOUSING,MOISTURIZER,LOWER </t>
  </si>
  <si>
    <t>HOUSING,BOTTLE HOLDER,ICH </t>
  </si>
  <si>
    <t>MOUNTING PLATE,PAPER GUDIE,FRONT,ASF </t>
  </si>
  <si>
    <t>193599200 </t>
  </si>
  <si>
    <t>LOCK,TRAY;B </t>
  </si>
  <si>
    <t>186792002 </t>
  </si>
  <si>
    <t>COVER,SENSOR,FRONT,STACKER </t>
  </si>
  <si>
    <t>PAPER GUIDE,FRONT,ASF </t>
  </si>
  <si>
    <t>186739302 </t>
  </si>
  <si>
    <t>COVER,CLEANER,LOWER,BU </t>
  </si>
  <si>
    <t>180328600 </t>
  </si>
  <si>
    <t>180320702 </t>
  </si>
  <si>
    <t>186816601 </t>
  </si>
  <si>
    <t>187385503 </t>
  </si>
  <si>
    <t>D11601C </t>
  </si>
  <si>
    <t>180706501 </t>
  </si>
  <si>
    <t>184323801 </t>
  </si>
  <si>
    <t>184495603 </t>
  </si>
  <si>
    <t>193578901 </t>
  </si>
  <si>
    <t>184553705 </t>
  </si>
  <si>
    <t>193635801 </t>
  </si>
  <si>
    <t>187385602 </t>
  </si>
  <si>
    <t>186813501 </t>
  </si>
  <si>
    <t>185192003 </t>
  </si>
  <si>
    <t>184371801 </t>
  </si>
  <si>
    <t>179923301 </t>
  </si>
  <si>
    <t>179922901 </t>
  </si>
  <si>
    <t>180674403 </t>
  </si>
  <si>
    <t>184553905 </t>
  </si>
  <si>
    <t xml:space="preserve">   </t>
  </si>
  <si>
    <t>180919402 </t>
  </si>
  <si>
    <t>180919002 </t>
  </si>
  <si>
    <t>180935401 </t>
  </si>
  <si>
    <t>180935300 </t>
  </si>
  <si>
    <t>184432303 </t>
  </si>
  <si>
    <t>S1,S3</t>
  </si>
  <si>
    <t>187308400 </t>
  </si>
  <si>
    <t>600 </t>
  </si>
  <si>
    <t>173592402 </t>
  </si>
  <si>
    <t>187460503 </t>
  </si>
  <si>
    <t>187805500 </t>
  </si>
  <si>
    <t>184553805 </t>
  </si>
  <si>
    <t>179251200 </t>
  </si>
  <si>
    <t>COVER,INNER;B </t>
  </si>
  <si>
    <t>187393603 </t>
  </si>
  <si>
    <t>184409603 </t>
  </si>
  <si>
    <t>185926400 </t>
  </si>
  <si>
    <t>191575100 </t>
  </si>
  <si>
    <t>84 </t>
  </si>
  <si>
    <t>132   </t>
  </si>
  <si>
    <t>179250501 </t>
  </si>
  <si>
    <t>130   </t>
  </si>
  <si>
    <t>131   </t>
  </si>
  <si>
    <t>180321202 </t>
  </si>
  <si>
    <t>187312501 </t>
  </si>
  <si>
    <t>187315100 </t>
  </si>
  <si>
    <t>187311900 </t>
  </si>
  <si>
    <t>133   </t>
  </si>
  <si>
    <t>136   </t>
  </si>
  <si>
    <t>190748000 </t>
  </si>
  <si>
    <t>HOLDER,IH,LEFT;B </t>
  </si>
  <si>
    <t>179250401 </t>
  </si>
  <si>
    <t>193635901 </t>
  </si>
  <si>
    <t>179899801 </t>
  </si>
  <si>
    <t>FRAME,TOP,RIGHT </t>
  </si>
  <si>
    <t>80 </t>
  </si>
  <si>
    <t>96 </t>
  </si>
  <si>
    <t>188961900 </t>
  </si>
  <si>
    <t>87   </t>
  </si>
  <si>
    <t>20 </t>
  </si>
  <si>
    <t>73   </t>
  </si>
  <si>
    <t>85   </t>
  </si>
  <si>
    <t>83   </t>
  </si>
  <si>
    <t>84   </t>
  </si>
  <si>
    <t>86   </t>
  </si>
  <si>
    <t>109   </t>
  </si>
  <si>
    <t>110   </t>
  </si>
  <si>
    <t>112   </t>
  </si>
  <si>
    <t>117   </t>
  </si>
  <si>
    <t>118   </t>
  </si>
  <si>
    <t>119   </t>
  </si>
  <si>
    <t>120   </t>
  </si>
  <si>
    <t>121   </t>
  </si>
  <si>
    <t>122   </t>
  </si>
  <si>
    <t>180321102 </t>
  </si>
  <si>
    <t>190038800 </t>
  </si>
  <si>
    <t>103   </t>
  </si>
  <si>
    <t>135   </t>
  </si>
  <si>
    <t>80   </t>
  </si>
  <si>
    <t>94   </t>
  </si>
  <si>
    <t>77   </t>
  </si>
  <si>
    <t>79   </t>
  </si>
  <si>
    <t>90   </t>
  </si>
  <si>
    <t>93   </t>
  </si>
  <si>
    <t>95   </t>
  </si>
  <si>
    <t>96   </t>
  </si>
  <si>
    <t>97   </t>
  </si>
  <si>
    <t>89   </t>
  </si>
  <si>
    <t>91   </t>
  </si>
  <si>
    <t>92   </t>
  </si>
  <si>
    <t>100   </t>
  </si>
  <si>
    <t>101   </t>
  </si>
  <si>
    <t>134   </t>
  </si>
  <si>
    <t>60 </t>
  </si>
  <si>
    <t>OQC</t>
  </si>
  <si>
    <t>BAGAS</t>
  </si>
  <si>
    <t>AMEL</t>
  </si>
  <si>
    <t>BAHAR</t>
  </si>
  <si>
    <t>ANGGIT</t>
  </si>
  <si>
    <t>FIKRI</t>
  </si>
  <si>
    <t>AMELIA</t>
  </si>
  <si>
    <t>ZAHWA</t>
  </si>
  <si>
    <t>RAJA</t>
  </si>
  <si>
    <t>WULAN</t>
  </si>
  <si>
    <t>FINASI</t>
  </si>
  <si>
    <t>ANNA</t>
  </si>
  <si>
    <t>AMEIA</t>
  </si>
  <si>
    <t>AYU</t>
  </si>
  <si>
    <r>
      <t>Vender:</t>
    </r>
    <r>
      <rPr>
        <b/>
        <sz val="9.9"/>
        <color theme="1"/>
        <rFont val="Arial"/>
        <family val="2"/>
      </rPr>
      <t>      </t>
    </r>
  </si>
  <si>
    <t>Kanban No.</t>
  </si>
  <si>
    <t>0003668316 </t>
  </si>
  <si>
    <t>D12001A </t>
  </si>
  <si>
    <t>cek</t>
  </si>
  <si>
    <t>nama</t>
  </si>
  <si>
    <t>139   </t>
  </si>
  <si>
    <t>GUIDE,SHAFT,ROLLER,DRIVEN,WEB,BCL </t>
  </si>
  <si>
    <t>140   </t>
  </si>
  <si>
    <t>141   </t>
  </si>
  <si>
    <t>142   </t>
  </si>
  <si>
    <t>143   </t>
  </si>
  <si>
    <t>144   </t>
  </si>
  <si>
    <t>145   </t>
  </si>
  <si>
    <t>146   </t>
  </si>
  <si>
    <t>147   </t>
  </si>
  <si>
    <t>148   </t>
  </si>
  <si>
    <t>149   </t>
  </si>
  <si>
    <t>150   </t>
  </si>
  <si>
    <t>151   </t>
  </si>
  <si>
    <t>152   </t>
  </si>
  <si>
    <t>153   </t>
  </si>
  <si>
    <t>154   </t>
  </si>
  <si>
    <t>180321002 </t>
  </si>
  <si>
    <t>10 </t>
  </si>
  <si>
    <t>D11601A </t>
  </si>
  <si>
    <t>188962000 </t>
  </si>
  <si>
    <t>144 </t>
  </si>
  <si>
    <t>176591801 </t>
  </si>
  <si>
    <t>COVER,INK EJECT;B </t>
  </si>
  <si>
    <t>1A4328500 </t>
  </si>
  <si>
    <t>COVER,INK EJECT;C </t>
  </si>
  <si>
    <t>1000 </t>
  </si>
  <si>
    <t>COVER,UPPER,HINGE,RIGHT;B </t>
  </si>
  <si>
    <t>186717100 </t>
  </si>
  <si>
    <t>DUCT,HEAD,EXHAUST,FR </t>
  </si>
  <si>
    <t>195717301 </t>
  </si>
  <si>
    <t>HOLDER,HARNESS </t>
  </si>
  <si>
    <t>61   </t>
  </si>
  <si>
    <t>160 </t>
  </si>
  <si>
    <t>240 </t>
  </si>
  <si>
    <t>183834905 </t>
  </si>
  <si>
    <t>700 </t>
  </si>
  <si>
    <t>171792001 </t>
  </si>
  <si>
    <t>COVER,CR </t>
  </si>
  <si>
    <t>192950900 </t>
  </si>
  <si>
    <t>PAPER SUPPORT,LD,SUB,MPT;B </t>
  </si>
  <si>
    <t>180 </t>
  </si>
  <si>
    <t>70   </t>
  </si>
  <si>
    <t>191718100 </t>
  </si>
  <si>
    <t>HOUSING,REAR,LEFT,ADF;B </t>
  </si>
  <si>
    <t>191718200 </t>
  </si>
  <si>
    <t>HOUSING,REAR,RIGHT,ADF;B </t>
  </si>
  <si>
    <t>59   </t>
  </si>
  <si>
    <t>63   </t>
  </si>
  <si>
    <t>65   </t>
  </si>
  <si>
    <t>67   </t>
  </si>
  <si>
    <t>2400 </t>
  </si>
  <si>
    <t>0004318775 </t>
  </si>
  <si>
    <t>60   </t>
  </si>
  <si>
    <t>62   </t>
  </si>
  <si>
    <t>71   </t>
  </si>
  <si>
    <t>192307200 </t>
  </si>
  <si>
    <t>GUIDE,TRAY,FRONT,LEFT;C </t>
  </si>
  <si>
    <t>3000 </t>
  </si>
  <si>
    <t>COVER,UPPER,HINGE,LEFT;B </t>
  </si>
  <si>
    <t>57   </t>
  </si>
  <si>
    <t>58   </t>
  </si>
  <si>
    <t>64   </t>
  </si>
  <si>
    <t>66   </t>
  </si>
  <si>
    <t>68   </t>
  </si>
  <si>
    <t>69   </t>
  </si>
  <si>
    <t>72   </t>
  </si>
  <si>
    <t>179840401 </t>
  </si>
  <si>
    <t>HOUSING,RASF,HOME;B </t>
  </si>
  <si>
    <t>2   </t>
  </si>
  <si>
    <t>5   </t>
  </si>
  <si>
    <t>4   </t>
  </si>
  <si>
    <t>HOUSING,FRONT,LEFT </t>
  </si>
  <si>
    <t>7   </t>
  </si>
  <si>
    <t>8   </t>
  </si>
  <si>
    <t>15   </t>
  </si>
  <si>
    <t>16   </t>
  </si>
  <si>
    <t>20   </t>
  </si>
  <si>
    <t>30   </t>
  </si>
  <si>
    <t>34   </t>
  </si>
  <si>
    <t>37   </t>
  </si>
  <si>
    <t>42   </t>
  </si>
  <si>
    <t>44   </t>
  </si>
  <si>
    <t>10   </t>
  </si>
  <si>
    <t>11   </t>
  </si>
  <si>
    <t>14   </t>
  </si>
  <si>
    <t>17   </t>
  </si>
  <si>
    <t>18   </t>
  </si>
  <si>
    <t>19   </t>
  </si>
  <si>
    <t>21   </t>
  </si>
  <si>
    <t>24   </t>
  </si>
  <si>
    <t>26   </t>
  </si>
  <si>
    <t>27   </t>
  </si>
  <si>
    <t>28   </t>
  </si>
  <si>
    <t>31   </t>
  </si>
  <si>
    <t>33   </t>
  </si>
  <si>
    <t>35   </t>
  </si>
  <si>
    <t>39   </t>
  </si>
  <si>
    <t>43   </t>
  </si>
  <si>
    <t>48   </t>
  </si>
  <si>
    <t>51   </t>
  </si>
  <si>
    <t>52   </t>
  </si>
  <si>
    <t>53   </t>
  </si>
  <si>
    <t>54   </t>
  </si>
  <si>
    <t>55   </t>
  </si>
  <si>
    <t>56   </t>
  </si>
  <si>
    <t>16 </t>
  </si>
  <si>
    <t>180323501 </t>
  </si>
  <si>
    <t>COVER,CIS,LOWER </t>
  </si>
  <si>
    <t>PAPER GUIDE,UPPER,ROLL,SUB </t>
  </si>
  <si>
    <t>HOLDER,FRONT,RIGHT,RECYCLE </t>
  </si>
  <si>
    <t>193579000 </t>
  </si>
  <si>
    <t>PAPER GUIDE,CIS,ADF </t>
  </si>
  <si>
    <t>9   </t>
  </si>
  <si>
    <t>12   </t>
  </si>
  <si>
    <t>13   </t>
  </si>
  <si>
    <t>22   </t>
  </si>
  <si>
    <t>23   </t>
  </si>
  <si>
    <t>25   </t>
  </si>
  <si>
    <t>29   </t>
  </si>
  <si>
    <t>32   </t>
  </si>
  <si>
    <t>36   </t>
  </si>
  <si>
    <t>38   </t>
  </si>
  <si>
    <t>40   </t>
  </si>
  <si>
    <t>41   </t>
  </si>
  <si>
    <t>45   </t>
  </si>
  <si>
    <t>47   </t>
  </si>
  <si>
    <t>49   </t>
  </si>
  <si>
    <t>50   </t>
  </si>
  <si>
    <t>70 </t>
  </si>
  <si>
    <t>25 </t>
  </si>
  <si>
    <t>186162300 </t>
  </si>
  <si>
    <t>TRAY,BD;B </t>
  </si>
  <si>
    <t>PAPER GUIDE,UPPER,ROLL </t>
  </si>
  <si>
    <t>192371700 </t>
  </si>
  <si>
    <t>PAPER,SUPPORT,BLACK,ASSY;B;IEI </t>
  </si>
  <si>
    <t>BACKGROUND PLATE,ADF </t>
  </si>
  <si>
    <t>46   </t>
  </si>
  <si>
    <t>1   </t>
  </si>
  <si>
    <t>3   </t>
  </si>
  <si>
    <t>6   </t>
  </si>
  <si>
    <t>0003226287 </t>
  </si>
  <si>
    <t>0003357352 </t>
  </si>
  <si>
    <t>COLOR BLOCK,IH,LI </t>
  </si>
  <si>
    <t>137   </t>
  </si>
  <si>
    <t>138   </t>
  </si>
  <si>
    <t>169390202 </t>
  </si>
  <si>
    <t>FRAME,LOWER,LEFT </t>
  </si>
  <si>
    <t>D11401C </t>
  </si>
  <si>
    <t>1A4211100 </t>
  </si>
  <si>
    <t>HOUSING LOWER RIGHT ASSY;B;CL73;IEI </t>
  </si>
  <si>
    <t>COVER,MIDDLE,STACKER </t>
  </si>
  <si>
    <t>FLANGE,RIGHT </t>
  </si>
  <si>
    <t>117 </t>
  </si>
  <si>
    <t>0003841226 </t>
  </si>
  <si>
    <t>0004461675 </t>
  </si>
  <si>
    <t>320 </t>
  </si>
  <si>
    <t>155   </t>
  </si>
  <si>
    <t>156   </t>
  </si>
  <si>
    <t>157   </t>
  </si>
  <si>
    <t>195724000 </t>
  </si>
  <si>
    <t>DUCT,HEAD,BASE,RIGHT </t>
  </si>
  <si>
    <t>188842801 </t>
  </si>
  <si>
    <t>158   </t>
  </si>
  <si>
    <t>179340302 </t>
  </si>
  <si>
    <t>GUIDE,TUBE,UPPER </t>
  </si>
  <si>
    <t>186792201 </t>
  </si>
  <si>
    <t>COVER,SENSOR,REAR,STACKER </t>
  </si>
  <si>
    <t>40 </t>
  </si>
  <si>
    <t>28 </t>
  </si>
  <si>
    <t>COLOR BLOCK,IH,ER </t>
  </si>
  <si>
    <t>COLOR BLOCK,IH,AN </t>
  </si>
  <si>
    <t>HOLDER,BUFFER </t>
  </si>
  <si>
    <t>150 </t>
  </si>
  <si>
    <t>159   </t>
  </si>
  <si>
    <t>193599100 </t>
  </si>
  <si>
    <t>160   </t>
  </si>
  <si>
    <t>161   </t>
  </si>
  <si>
    <t>162   </t>
  </si>
  <si>
    <t>163   </t>
  </si>
  <si>
    <t>164   </t>
  </si>
  <si>
    <t>165   </t>
  </si>
  <si>
    <t>166   </t>
  </si>
  <si>
    <t>167   </t>
  </si>
  <si>
    <t>168   </t>
  </si>
  <si>
    <t>169   </t>
  </si>
  <si>
    <t>170   </t>
  </si>
  <si>
    <t>157571800 </t>
  </si>
  <si>
    <t>GUIDE,HINGE </t>
  </si>
  <si>
    <t>184314700 </t>
  </si>
  <si>
    <t>FLAP </t>
  </si>
  <si>
    <t>720 </t>
  </si>
  <si>
    <t>184314701 </t>
  </si>
  <si>
    <t>0004369819 </t>
  </si>
  <si>
    <t>195722700 </t>
  </si>
  <si>
    <t>COVER,FFC,PANLE </t>
  </si>
  <si>
    <t>CASE,MCB,F;AA </t>
  </si>
  <si>
    <t>193272500 </t>
  </si>
  <si>
    <t>HOUSING,FRONT,LOWER,LEFT;B </t>
  </si>
  <si>
    <t>176799901 </t>
  </si>
  <si>
    <t>HOUSING,RASF,HOME </t>
  </si>
  <si>
    <t>35 </t>
  </si>
  <si>
    <t>181332800 </t>
  </si>
  <si>
    <t>COVER,CABLE </t>
  </si>
  <si>
    <t>GUTTER,INK EJECT </t>
  </si>
  <si>
    <t>112 </t>
  </si>
  <si>
    <t>184458403 </t>
  </si>
  <si>
    <t>COVER,DRAWER,LEFT </t>
  </si>
  <si>
    <t>34 </t>
  </si>
  <si>
    <r>
      <t>228746</t>
    </r>
    <r>
      <rPr>
        <b/>
        <sz val="9.9"/>
        <color theme="1"/>
        <rFont val="Arial"/>
        <family val="2"/>
      </rPr>
      <t> </t>
    </r>
  </si>
  <si>
    <t>ETA</t>
  </si>
  <si>
    <t>176421901 </t>
  </si>
  <si>
    <t>COVER,INK EJECT </t>
  </si>
  <si>
    <t>2640 </t>
  </si>
  <si>
    <t>2200 </t>
  </si>
  <si>
    <t>0002727263 </t>
  </si>
  <si>
    <t>0004559878 </t>
  </si>
  <si>
    <t>1056 </t>
  </si>
  <si>
    <t>1300 </t>
  </si>
  <si>
    <t>COLOR BLOCK,IH,CQ </t>
  </si>
  <si>
    <t>COLOR BLOCK,IH,GP </t>
  </si>
  <si>
    <t>COLOR BLOCK,IH,IL </t>
  </si>
  <si>
    <t>COLOR BLOCK,IH,HM </t>
  </si>
  <si>
    <t>COLOR BLOCK,IH,JO </t>
  </si>
  <si>
    <t>COLOR BLOCK,IH,FT </t>
  </si>
  <si>
    <t>COLOR BLOCK,IH,DK </t>
  </si>
  <si>
    <t>COLOR BLOCK,IH,BS </t>
  </si>
  <si>
    <t>193929600 </t>
  </si>
  <si>
    <t>DECORATION PLATE,FRONT;B </t>
  </si>
  <si>
    <t>PAPER SUPPORT,MPT;B </t>
  </si>
  <si>
    <t>44 </t>
  </si>
  <si>
    <t>2000 </t>
  </si>
  <si>
    <t>171   </t>
  </si>
  <si>
    <t>172   </t>
  </si>
  <si>
    <t>173   </t>
  </si>
  <si>
    <t>174   </t>
  </si>
  <si>
    <t>175   </t>
  </si>
  <si>
    <t>176   </t>
  </si>
  <si>
    <t>177   </t>
  </si>
  <si>
    <t>179   </t>
  </si>
  <si>
    <t>PAPER SUPPORT,UPPER,MPT;B,PL </t>
  </si>
  <si>
    <t>800 </t>
  </si>
  <si>
    <t>2026/08/07 10:00:00 </t>
  </si>
  <si>
    <t>FLANGE,LEFT </t>
  </si>
  <si>
    <t>0004167549 </t>
  </si>
  <si>
    <t>2026/08/06 07:24:22 </t>
  </si>
  <si>
    <t>0004368109 </t>
  </si>
  <si>
    <t>195688400 </t>
  </si>
  <si>
    <t>COVER,PAPER GUIDE,SB,UPPER,EJ </t>
  </si>
  <si>
    <t>0004573892 </t>
  </si>
  <si>
    <t>195723900 </t>
  </si>
  <si>
    <t>DUCT,HEAD,BASE,LEFT </t>
  </si>
  <si>
    <t>0004369891 </t>
  </si>
  <si>
    <t>0004369903 </t>
  </si>
  <si>
    <t>195724100 </t>
  </si>
  <si>
    <t>DUCT,FAN </t>
  </si>
  <si>
    <t>3150 </t>
  </si>
  <si>
    <t>1200 </t>
  </si>
  <si>
    <t>191353000 </t>
  </si>
  <si>
    <t>HOUSING,REAR,LEFT;RABSK </t>
  </si>
  <si>
    <t>191353100 </t>
  </si>
  <si>
    <t>HOUSING,REAR,RIGHT;RABSK </t>
  </si>
  <si>
    <t>75 </t>
  </si>
  <si>
    <t>181010501 </t>
  </si>
  <si>
    <t>HOLDER,POROUS PAD,PAPER GUIDE,LOWER </t>
  </si>
  <si>
    <t>224 </t>
  </si>
  <si>
    <t>14 </t>
  </si>
  <si>
    <t>TRAY,ASSIST </t>
  </si>
  <si>
    <t>181010400 </t>
  </si>
  <si>
    <t>HOLDER,HARNESS,MOTOR,PF </t>
  </si>
  <si>
    <t>360 </t>
  </si>
  <si>
    <t>HOLDER,COVER,PRINTER </t>
  </si>
  <si>
    <t>32 </t>
  </si>
  <si>
    <t>384 </t>
  </si>
  <si>
    <r>
      <t> </t>
    </r>
    <r>
      <rPr>
        <b/>
        <sz val="12"/>
        <color theme="1"/>
        <rFont val="Arial"/>
        <family val="2"/>
      </rPr>
      <t>2026/08/07</t>
    </r>
    <r>
      <rPr>
        <b/>
        <sz val="9.9"/>
        <color theme="1"/>
        <rFont val="Arial"/>
        <family val="2"/>
      </rPr>
      <t> </t>
    </r>
  </si>
  <si>
    <t>2026/08/07 07:20:30 </t>
  </si>
  <si>
    <t>2026/08/07 07:20:32 </t>
  </si>
  <si>
    <t>2026/08/07 07:21:36 </t>
  </si>
  <si>
    <t>0004181582 </t>
  </si>
  <si>
    <t>2026/08/07 07:21:22 </t>
  </si>
  <si>
    <t>2026/08/07 21:00:00 </t>
  </si>
  <si>
    <t>2150 </t>
  </si>
  <si>
    <t>2026/08/07 23:00:00 </t>
  </si>
  <si>
    <t>0003841225 </t>
  </si>
  <si>
    <t>2376 </t>
  </si>
  <si>
    <t>0002727261 </t>
  </si>
  <si>
    <t>0002822643 </t>
  </si>
  <si>
    <t>1800 </t>
  </si>
  <si>
    <t>2026/08/07 07:20:31 </t>
  </si>
  <si>
    <t>0003955217 </t>
  </si>
  <si>
    <t>0002882366 </t>
  </si>
  <si>
    <t>2100 </t>
  </si>
  <si>
    <t>0004181854 </t>
  </si>
  <si>
    <t>2800 </t>
  </si>
  <si>
    <t>1350 </t>
  </si>
  <si>
    <t>0004030798 </t>
  </si>
  <si>
    <t>0002822644 </t>
  </si>
  <si>
    <t>2026/08/10 09:00:00 </t>
  </si>
  <si>
    <t>0002727262 </t>
  </si>
  <si>
    <t>0003668319 </t>
  </si>
  <si>
    <t>1700 </t>
  </si>
  <si>
    <t>0003955147 </t>
  </si>
  <si>
    <t>180641801 </t>
  </si>
  <si>
    <t>CASE,REAR,F;AA </t>
  </si>
  <si>
    <t>0003357354 </t>
  </si>
  <si>
    <t>0003955157 </t>
  </si>
  <si>
    <t>180634300 </t>
  </si>
  <si>
    <t>COVER,SUB,F </t>
  </si>
  <si>
    <t>0002882367 </t>
  </si>
  <si>
    <t>0003226291 </t>
  </si>
  <si>
    <t>0004532906 </t>
  </si>
  <si>
    <t>0004559879 </t>
  </si>
  <si>
    <t>0004461683 </t>
  </si>
  <si>
    <t>0004318776 </t>
  </si>
  <si>
    <t>1710 </t>
  </si>
  <si>
    <t>0004030799 </t>
  </si>
  <si>
    <t>0003618632 </t>
  </si>
  <si>
    <t>2026/08/07 07:20:33 </t>
  </si>
  <si>
    <t>0003618732 </t>
  </si>
  <si>
    <t>2026/08/07 07:20:34 </t>
  </si>
  <si>
    <t>0003618702 </t>
  </si>
  <si>
    <t>0003618681 </t>
  </si>
  <si>
    <t>0002939032 </t>
  </si>
  <si>
    <t>0003618712 </t>
  </si>
  <si>
    <t>0003618721 </t>
  </si>
  <si>
    <t>0003618661 </t>
  </si>
  <si>
    <t>300 </t>
  </si>
  <si>
    <t>0004218984 </t>
  </si>
  <si>
    <t>0003370231 </t>
  </si>
  <si>
    <t>5544 </t>
  </si>
  <si>
    <t>0003618692 </t>
  </si>
  <si>
    <t>0004163321 </t>
  </si>
  <si>
    <t>2026/08/07 07:20:35 </t>
  </si>
  <si>
    <t>0003618742 </t>
  </si>
  <si>
    <t>0003618752 </t>
  </si>
  <si>
    <t>0003618762 </t>
  </si>
  <si>
    <t>0003618841 </t>
  </si>
  <si>
    <t>COLOR BLOCK,IH,QF </t>
  </si>
  <si>
    <t>0003618772 </t>
  </si>
  <si>
    <t>0003618791 </t>
  </si>
  <si>
    <t>0003744390 </t>
  </si>
  <si>
    <t>0003618571 </t>
  </si>
  <si>
    <t>COSMETIC PLATE,PANEL </t>
  </si>
  <si>
    <t>0003618821 </t>
  </si>
  <si>
    <t>COLOR BLOCK,IH,OH </t>
  </si>
  <si>
    <t>0003863126 </t>
  </si>
  <si>
    <t>0004265067 </t>
  </si>
  <si>
    <t>0003618781 </t>
  </si>
  <si>
    <t>COLOR BLOCK,IH,KD </t>
  </si>
  <si>
    <t>0002899333 </t>
  </si>
  <si>
    <t>0003735508 </t>
  </si>
  <si>
    <t>186691800 </t>
  </si>
  <si>
    <t>COVER,GEAR,UPPER,DUP </t>
  </si>
  <si>
    <t>2026/08/07 07:21:37 </t>
  </si>
  <si>
    <t>0004221981 </t>
  </si>
  <si>
    <t>0003598001 </t>
  </si>
  <si>
    <t>0004275416 </t>
  </si>
  <si>
    <t>5000 </t>
  </si>
  <si>
    <t>0003725282 </t>
  </si>
  <si>
    <t>0004220157 </t>
  </si>
  <si>
    <t>0004168011 </t>
  </si>
  <si>
    <t>0004220167 </t>
  </si>
  <si>
    <t>0003461675 </t>
  </si>
  <si>
    <t>COVER,CRCM </t>
  </si>
  <si>
    <t>0003725308 </t>
  </si>
  <si>
    <t>0003835187 </t>
  </si>
  <si>
    <t>0003725306 </t>
  </si>
  <si>
    <t>0003725290 </t>
  </si>
  <si>
    <t>0003813854 </t>
  </si>
  <si>
    <t>2026/08/07 07:21:38 </t>
  </si>
  <si>
    <t>0004147541 </t>
  </si>
  <si>
    <t>2700 </t>
  </si>
  <si>
    <t>0003735493 </t>
  </si>
  <si>
    <t>0003813853 </t>
  </si>
  <si>
    <t>0003735500 </t>
  </si>
  <si>
    <t>0003725338 </t>
  </si>
  <si>
    <t>0004265976 </t>
  </si>
  <si>
    <t>0004115995 </t>
  </si>
  <si>
    <t>0003065347 </t>
  </si>
  <si>
    <t>180937101 </t>
  </si>
  <si>
    <t>HAND,GRIP,MU2 </t>
  </si>
  <si>
    <t>48 </t>
  </si>
  <si>
    <t>2026/08/10 10:00:00 </t>
  </si>
  <si>
    <t>0003658023 </t>
  </si>
  <si>
    <t>PAPER GUIDE,ROLL,JUNCTION,12 </t>
  </si>
  <si>
    <t>0003059148 </t>
  </si>
  <si>
    <t>HOLDER,ENC,ALD </t>
  </si>
  <si>
    <t>0004166966 </t>
  </si>
  <si>
    <t>0002415197 </t>
  </si>
  <si>
    <t>0003545358 </t>
  </si>
  <si>
    <t>184494903 </t>
  </si>
  <si>
    <t>COVER,JOINT,DRAWER,LEFT </t>
  </si>
  <si>
    <t>2026/08/07 07:21:23 </t>
  </si>
  <si>
    <t>0004152950 </t>
  </si>
  <si>
    <t>2026/08/07 07:21:24 </t>
  </si>
  <si>
    <t>0004367317 </t>
  </si>
  <si>
    <t>195669100 </t>
  </si>
  <si>
    <t>HOLDER,MPT,BRAKE,RESIST,PF </t>
  </si>
  <si>
    <t>0003720157 </t>
  </si>
  <si>
    <t>0004481157 </t>
  </si>
  <si>
    <t>0004482902 </t>
  </si>
  <si>
    <t>195679500 </t>
  </si>
  <si>
    <t>PAPERGUIDE,PWD,MPT </t>
  </si>
  <si>
    <t>0003352170 </t>
  </si>
  <si>
    <t>0003720164 </t>
  </si>
  <si>
    <t>0004430373 </t>
  </si>
  <si>
    <t>180322902 </t>
  </si>
  <si>
    <t>COVER,CIS,UPPER </t>
  </si>
  <si>
    <t>0004430500 </t>
  </si>
  <si>
    <t>2026/08/07 07:21:25 </t>
  </si>
  <si>
    <t>0004481276 </t>
  </si>
  <si>
    <t>195720801 </t>
  </si>
  <si>
    <t>CLEAR COVER,I/C </t>
  </si>
  <si>
    <t>0004369893 </t>
  </si>
  <si>
    <t>0004369898 </t>
  </si>
  <si>
    <t>0004481277 </t>
  </si>
  <si>
    <t>4 </t>
  </si>
  <si>
    <t>0004369855 </t>
  </si>
  <si>
    <t>195723300 </t>
  </si>
  <si>
    <t>COVER,WIFI </t>
  </si>
  <si>
    <t>0004481158 </t>
  </si>
  <si>
    <t>0003668321 </t>
  </si>
  <si>
    <t>2650 </t>
  </si>
  <si>
    <t>2026/08/10 14:00:00 </t>
  </si>
  <si>
    <t>0003841230 </t>
  </si>
  <si>
    <t>2112 </t>
  </si>
  <si>
    <t>0003226292 </t>
  </si>
  <si>
    <t>0003955220 </t>
  </si>
  <si>
    <t>0003357357 </t>
  </si>
  <si>
    <t>0002882368 </t>
  </si>
  <si>
    <t>1900 </t>
  </si>
  <si>
    <t>0003955148 </t>
  </si>
  <si>
    <t>0004461684 </t>
  </si>
  <si>
    <t>0004532909 </t>
  </si>
  <si>
    <t>420 </t>
  </si>
  <si>
    <t>0004030800 </t>
  </si>
  <si>
    <t>0004559881 </t>
  </si>
  <si>
    <t>0003618893 </t>
  </si>
  <si>
    <t>0003996985 </t>
  </si>
  <si>
    <t>0003618921 </t>
  </si>
  <si>
    <t>0003618633 </t>
  </si>
  <si>
    <t>0003618562 </t>
  </si>
  <si>
    <t>0004009082 </t>
  </si>
  <si>
    <t>21 </t>
  </si>
  <si>
    <t>0003618901 </t>
  </si>
  <si>
    <t>0002379721 </t>
  </si>
  <si>
    <t>816 </t>
  </si>
  <si>
    <t>0003860905 </t>
  </si>
  <si>
    <t>190315600 </t>
  </si>
  <si>
    <t>0004118630 </t>
  </si>
  <si>
    <t>0004045046 </t>
  </si>
  <si>
    <t>0003080202 </t>
  </si>
  <si>
    <t>0003725347 </t>
  </si>
  <si>
    <t>0003731784 </t>
  </si>
  <si>
    <t>0003440243 </t>
  </si>
  <si>
    <t>169679701 </t>
  </si>
  <si>
    <t>GUIDE,HARNESS,REAR </t>
  </si>
  <si>
    <t>0002900840 </t>
  </si>
  <si>
    <t>0002899334 </t>
  </si>
  <si>
    <t>0003757856 </t>
  </si>
  <si>
    <t>0003833116 </t>
  </si>
  <si>
    <t>0004102087 </t>
  </si>
  <si>
    <t>189   </t>
  </si>
  <si>
    <t>0004221982 </t>
  </si>
  <si>
    <t>191   </t>
  </si>
  <si>
    <t>0004168281 </t>
  </si>
  <si>
    <r>
      <t> </t>
    </r>
    <r>
      <rPr>
        <b/>
        <sz val="12"/>
        <color theme="1"/>
        <rFont val="Arial"/>
        <family val="2"/>
      </rPr>
      <t>13:58:26</t>
    </r>
    <r>
      <rPr>
        <b/>
        <sz val="9.9"/>
        <color theme="1"/>
        <rFont val="Arial"/>
        <family val="2"/>
      </rPr>
      <t> </t>
    </r>
  </si>
  <si>
    <t>0004716436 </t>
  </si>
  <si>
    <t>190041102 </t>
  </si>
  <si>
    <t>PAPER GUIDE,SUPPORT,RIGHT B :CH81:IEI </t>
  </si>
  <si>
    <t>2026/08/07 09:27:54 </t>
  </si>
  <si>
    <t>2026/08/07 18:27:54 </t>
  </si>
  <si>
    <t>ADD PLAN IN,ETA 14 JUMAT </t>
  </si>
  <si>
    <t>0004716442 </t>
  </si>
  <si>
    <t>188654502 </t>
  </si>
  <si>
    <t>PAPER GUIDE,SUPPORT,LEFT:CH81:IEI </t>
  </si>
  <si>
    <t>0002727264 </t>
  </si>
  <si>
    <t>2026/08/07 13:16:40 </t>
  </si>
  <si>
    <t>0003471704 </t>
  </si>
  <si>
    <t>2026/08/07 13:16:35 </t>
  </si>
  <si>
    <t>0002727265 </t>
  </si>
  <si>
    <t>750 </t>
  </si>
  <si>
    <t>0003618601 </t>
  </si>
  <si>
    <t>180681800 </t>
  </si>
  <si>
    <t>STACKER,SUB,FRONT </t>
  </si>
  <si>
    <t>2026/08/07 13:16:41 </t>
  </si>
  <si>
    <t>0004009083 </t>
  </si>
  <si>
    <t>2026/08/07 13:16:42 </t>
  </si>
  <si>
    <t>0003241046 </t>
  </si>
  <si>
    <t>2026/08/07 13:17:07 </t>
  </si>
  <si>
    <t>0002671156 </t>
  </si>
  <si>
    <t>42 </t>
  </si>
  <si>
    <t>0003732095 </t>
  </si>
  <si>
    <t>FLAP,BF </t>
  </si>
  <si>
    <t>2026/08/07 13:17:09 </t>
  </si>
  <si>
    <t>0004040908 </t>
  </si>
  <si>
    <t>192371500 </t>
  </si>
  <si>
    <t>PAPER,SUPPORT,WHITE,B271,ASSY;B;IEI </t>
  </si>
  <si>
    <t>0004168270 </t>
  </si>
  <si>
    <t>2026/08/07 13:16:36 </t>
  </si>
  <si>
    <t>0004221980 </t>
  </si>
  <si>
    <t>0003471713 </t>
  </si>
  <si>
    <t>179340400 </t>
  </si>
  <si>
    <t>GUIDE,TUBE,MIDDLE </t>
  </si>
  <si>
    <t>0003757857 </t>
  </si>
  <si>
    <t>0003618611 </t>
  </si>
  <si>
    <t>180690002 </t>
  </si>
  <si>
    <t>GUIDE,TRAY,FRONT,RIGHT </t>
  </si>
  <si>
    <t>260 </t>
  </si>
  <si>
    <t>0003668317 </t>
  </si>
  <si>
    <t>1650 </t>
  </si>
  <si>
    <t>0004461681 </t>
  </si>
  <si>
    <t>0002727266 </t>
  </si>
  <si>
    <t>0003618563 </t>
  </si>
  <si>
    <t>0003618602 </t>
  </si>
  <si>
    <t>0004118631 </t>
  </si>
  <si>
    <t>0003618902 </t>
  </si>
  <si>
    <t>0003618882 </t>
  </si>
  <si>
    <t>0003997041 </t>
  </si>
  <si>
    <t>1 </t>
  </si>
  <si>
    <t>0003618651 </t>
  </si>
  <si>
    <t>PAPER GUIDE,REAR </t>
  </si>
  <si>
    <t>0002415198 </t>
  </si>
  <si>
    <t>0002671157 </t>
  </si>
  <si>
    <t>0002487111 </t>
  </si>
  <si>
    <t>2026/08/07 13:17:08 </t>
  </si>
  <si>
    <t>0002487113 </t>
  </si>
  <si>
    <t>0003362431 </t>
  </si>
  <si>
    <t>0003889482 </t>
  </si>
  <si>
    <t>0003561834 </t>
  </si>
  <si>
    <t>HOUSING,TOP,FRONT,CENTER </t>
  </si>
  <si>
    <t>0003463002 </t>
  </si>
  <si>
    <t>184390503 </t>
  </si>
  <si>
    <t>HOUSING,TOP,FRONT,LEFT </t>
  </si>
  <si>
    <t>0003352254 </t>
  </si>
  <si>
    <t>PULLEY,MIDDLE,SPACER </t>
  </si>
  <si>
    <t>76 </t>
  </si>
  <si>
    <t>0003530881 </t>
  </si>
  <si>
    <t>0003479355 </t>
  </si>
  <si>
    <t>0004153496 </t>
  </si>
  <si>
    <t>0004008881 </t>
  </si>
  <si>
    <t>0004201726 </t>
  </si>
  <si>
    <t>0004036511 </t>
  </si>
  <si>
    <t>0003658167 </t>
  </si>
  <si>
    <t>PAPER GUIDE,ROLL,ENTRANCE,UPPER,12 </t>
  </si>
  <si>
    <t>24 </t>
  </si>
  <si>
    <t>page 8 </t>
  </si>
  <si>
    <t>2026/08/09 18:28:38 </t>
  </si>
  <si>
    <t>2026/08/09 07:21:22 </t>
  </si>
  <si>
    <t>2026/08/08 09:28:38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</si>
</sst>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9.9"/>
      <color theme="1"/>
      <name val="Arial"/>
      <family val="2"/>
    </font>
    <font>
      <sz val="8"/>
      <name val="Calibri"/>
      <family val="3"/>
      <charset val="129"/>
      <scheme val="minor"/>
    </font>
    <font>
      <sz val="9.9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rgb="FF0000FF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6" fillId="0" borderId="0" xfId="0" applyNumberFormat="1" applyFont="1"/>
    <xf numFmtId="0" fontId="6" fillId="0" borderId="0" xfId="0" applyFont="1" applyAlignment="1">
      <alignment vertical="center"/>
    </xf>
    <xf numFmtId="0" fontId="0" fillId="3" borderId="0" xfId="0" applyFill="1" applyAlignment="1">
      <alignment horizontal="center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0" fontId="5" fillId="0" borderId="4" xfId="0" applyNumberFormat="1" applyFont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left" vertical="center"/>
    </xf>
    <xf numFmtId="0" fontId="6" fillId="0" borderId="4" xfId="0" applyFont="1" applyFill="1" applyBorder="1" applyAlignment="1">
      <alignment vertical="center"/>
    </xf>
    <xf numFmtId="0" fontId="6" fillId="0" borderId="4" xfId="0" applyNumberFormat="1" applyFont="1" applyFill="1" applyBorder="1" applyAlignment="1">
      <alignment horizontal="center" vertical="center"/>
    </xf>
    <xf numFmtId="0" fontId="6" fillId="3" borderId="4" xfId="0" applyNumberFormat="1" applyFont="1" applyFill="1" applyBorder="1" applyAlignment="1">
      <alignment horizontal="center" vertical="center"/>
    </xf>
    <xf numFmtId="38" fontId="8" fillId="0" borderId="4" xfId="0" applyNumberFormat="1" applyFont="1" applyFill="1" applyBorder="1" applyAlignment="1">
      <alignment horizontal="left" vertical="center"/>
    </xf>
    <xf numFmtId="0" fontId="6" fillId="3" borderId="4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vertical="center"/>
    </xf>
    <xf numFmtId="38" fontId="8" fillId="4" borderId="4" xfId="0" applyNumberFormat="1" applyFont="1" applyFill="1" applyBorder="1" applyAlignment="1">
      <alignment horizontal="left" vertical="center"/>
    </xf>
    <xf numFmtId="0" fontId="6" fillId="0" borderId="4" xfId="0" applyFont="1" applyBorder="1"/>
    <xf numFmtId="0" fontId="8" fillId="0" borderId="4" xfId="0" applyFont="1" applyFill="1" applyBorder="1" applyAlignment="1">
      <alignment vertical="center"/>
    </xf>
    <xf numFmtId="0" fontId="6" fillId="0" borderId="4" xfId="0" applyFont="1" applyBorder="1" applyAlignment="1">
      <alignment horizontal="left"/>
    </xf>
    <xf numFmtId="0" fontId="6" fillId="3" borderId="4" xfId="0" applyNumberFormat="1" applyFont="1" applyFill="1" applyBorder="1" applyAlignment="1">
      <alignment horizontal="center"/>
    </xf>
    <xf numFmtId="0" fontId="6" fillId="4" borderId="4" xfId="0" applyFont="1" applyFill="1" applyBorder="1" applyAlignment="1">
      <alignment vertical="center"/>
    </xf>
    <xf numFmtId="0" fontId="8" fillId="4" borderId="4" xfId="0" applyFont="1" applyFill="1" applyBorder="1" applyAlignment="1">
      <alignment vertical="center"/>
    </xf>
    <xf numFmtId="0" fontId="6" fillId="4" borderId="4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vertical="center"/>
    </xf>
    <xf numFmtId="0" fontId="6" fillId="5" borderId="4" xfId="0" applyFont="1" applyFill="1" applyBorder="1"/>
    <xf numFmtId="0" fontId="6" fillId="3" borderId="2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vertical="center"/>
    </xf>
    <xf numFmtId="0" fontId="6" fillId="0" borderId="4" xfId="0" applyFont="1" applyBorder="1" applyAlignment="1">
      <alignment horizontal="center"/>
    </xf>
    <xf numFmtId="0" fontId="9" fillId="0" borderId="4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vertical="center"/>
    </xf>
    <xf numFmtId="0" fontId="6" fillId="0" borderId="5" xfId="0" applyFont="1" applyBorder="1"/>
    <xf numFmtId="0" fontId="12" fillId="3" borderId="2" xfId="0" applyFont="1" applyFill="1" applyBorder="1" applyAlignment="1">
      <alignment horizontal="center" vertical="center" wrapText="1"/>
    </xf>
    <xf numFmtId="38" fontId="6" fillId="4" borderId="4" xfId="0" applyNumberFormat="1" applyFont="1" applyFill="1" applyBorder="1" applyAlignment="1">
      <alignment horizontal="left" vertical="center"/>
    </xf>
    <xf numFmtId="0" fontId="9" fillId="0" borderId="4" xfId="0" applyFont="1" applyFill="1" applyBorder="1" applyAlignment="1">
      <alignment horizontal="center" vertical="center"/>
    </xf>
    <xf numFmtId="0" fontId="9" fillId="0" borderId="4" xfId="0" applyNumberFormat="1" applyFont="1" applyFill="1" applyBorder="1" applyAlignment="1">
      <alignment horizontal="center" vertical="center"/>
    </xf>
    <xf numFmtId="0" fontId="9" fillId="4" borderId="4" xfId="0" applyFont="1" applyFill="1" applyBorder="1" applyAlignment="1">
      <alignment vertical="center"/>
    </xf>
    <xf numFmtId="0" fontId="9" fillId="4" borderId="4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8" fillId="0" borderId="4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left" vertical="center"/>
    </xf>
    <xf numFmtId="0" fontId="6" fillId="3" borderId="0" xfId="0" applyNumberFormat="1" applyFont="1" applyFill="1" applyAlignment="1">
      <alignment horizontal="center"/>
    </xf>
    <xf numFmtId="0" fontId="13" fillId="3" borderId="0" xfId="0" applyFont="1" applyFill="1" applyAlignment="1">
      <alignment horizontal="center"/>
    </xf>
    <xf numFmtId="0" fontId="13" fillId="0" borderId="0" xfId="0" applyFont="1"/>
    <xf numFmtId="0" fontId="6" fillId="0" borderId="4" xfId="0" applyFont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4" fillId="0" borderId="6" xfId="0" applyFont="1" applyBorder="1" applyAlignment="1">
      <alignment vertical="center"/>
    </xf>
    <xf numFmtId="0" fontId="7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6"/>
  <sheetViews>
    <sheetView tabSelected="1" zoomScale="90" zoomScaleNormal="90" workbookViewId="0">
      <selection activeCell="E10" sqref="E10"/>
    </sheetView>
  </sheetViews>
  <sheetFormatPr defaultRowHeight="15"/>
  <cols>
    <col min="1" max="1" width="5.7109375" customWidth="1"/>
    <col min="2" max="2" width="11.85546875" customWidth="1"/>
    <col min="3" max="3" width="14.28515625" customWidth="1"/>
    <col min="4" max="4" width="30.85546875" customWidth="1"/>
    <col min="5" max="5" width="13" customWidth="1"/>
    <col min="6" max="6" width="9.140625" customWidth="1"/>
    <col min="7" max="7" width="14.28515625" customWidth="1"/>
    <col min="8" max="8" width="8.7109375" customWidth="1"/>
    <col min="9" max="9" width="17.42578125" customWidth="1"/>
    <col min="10" max="10" width="19.28515625" customWidth="1"/>
    <col min="11" max="11" width="8" style="1" bestFit="1" customWidth="1"/>
    <col min="13" max="14" width="11.140625" bestFit="1" customWidth="1"/>
  </cols>
  <sheetData>
    <row r="1" spans="1:12">
      <c r="K1"/>
    </row>
    <row r="2" spans="1:12">
      <c r="A2" s="63"/>
      <c r="B2" s="63"/>
      <c r="C2" s="63"/>
      <c r="D2" s="63"/>
      <c r="E2" s="63"/>
      <c r="F2" s="63"/>
      <c r="G2" s="63"/>
      <c r="H2" s="63"/>
      <c r="I2" s="63"/>
      <c r="J2" s="63"/>
    </row>
    <row r="3" spans="1:12" ht="16.5" customHeight="1">
      <c r="A3" s="64" t="s">
        <v>304</v>
      </c>
      <c r="B3" s="64"/>
      <c r="C3" s="64"/>
      <c r="D3" s="64"/>
      <c r="E3" s="64"/>
      <c r="F3" s="64"/>
      <c r="G3" s="64"/>
      <c r="H3" s="64"/>
      <c r="I3" s="64"/>
      <c r="J3" s="64"/>
    </row>
    <row r="4" spans="1:12" ht="47.25" customHeight="1">
      <c r="A4" s="62" t="s">
        <v>455</v>
      </c>
      <c r="B4" s="62"/>
      <c r="C4" s="62"/>
      <c r="D4" s="62"/>
      <c r="E4" s="62"/>
      <c r="F4" s="62"/>
      <c r="G4" s="2" t="s">
        <v>670</v>
      </c>
      <c r="H4" s="2" t="s">
        <v>183</v>
      </c>
      <c r="I4" s="59" t="s">
        <v>735</v>
      </c>
      <c r="J4" s="59" t="s">
        <v>927</v>
      </c>
    </row>
    <row r="5" spans="1:12" ht="24" customHeight="1">
      <c r="A5" s="58" t="s">
        <v>184</v>
      </c>
      <c r="B5" s="58" t="s">
        <v>456</v>
      </c>
      <c r="C5" s="34" t="s">
        <v>305</v>
      </c>
      <c r="D5" s="34" t="s">
        <v>185</v>
      </c>
      <c r="E5" s="58" t="s">
        <v>186</v>
      </c>
      <c r="F5" s="34" t="s">
        <v>187</v>
      </c>
      <c r="G5" s="58" t="s">
        <v>671</v>
      </c>
      <c r="H5" s="58" t="s">
        <v>188</v>
      </c>
      <c r="I5" s="58" t="s">
        <v>189</v>
      </c>
      <c r="J5" s="58" t="s">
        <v>190</v>
      </c>
      <c r="K5" s="54" t="s">
        <v>459</v>
      </c>
      <c r="L5" s="55" t="s">
        <v>460</v>
      </c>
    </row>
    <row r="6" spans="1:12" ht="25.5" customHeight="1">
      <c r="A6" s="3" t="s">
        <v>599</v>
      </c>
      <c r="B6" s="3" t="s">
        <v>710</v>
      </c>
      <c r="C6" s="3" t="s">
        <v>653</v>
      </c>
      <c r="D6" s="3" t="s">
        <v>651</v>
      </c>
      <c r="E6" s="3" t="s">
        <v>706</v>
      </c>
      <c r="F6" s="3" t="s">
        <v>590</v>
      </c>
      <c r="G6" s="3" t="s">
        <v>703</v>
      </c>
      <c r="H6" s="3" t="s">
        <v>198</v>
      </c>
      <c r="I6" s="3" t="s">
        <v>199</v>
      </c>
      <c r="J6" s="3"/>
      <c r="K6" s="8" t="e">
        <f>IF(VLOOKUP(C6,'part c-100%'!$D$7:$E$157,1,0)=FALSE,"100%","100%")</f>
        <v>#N/A</v>
      </c>
      <c r="L6" t="e">
        <f>INDEX('part c-100%'!$AF$7:$AF$155,MATCH(kanban!C6,'part c-100%'!$D$7:$D$155,),)</f>
        <v>#N/A</v>
      </c>
    </row>
    <row r="7" spans="1:12">
      <c r="A7" s="3"/>
      <c r="B7" s="3"/>
      <c r="C7" s="3"/>
      <c r="D7" s="3"/>
      <c r="E7" s="3"/>
      <c r="F7" s="3"/>
      <c r="G7" s="3">
        <f>SUBTOTAL(9,G6:G6)</f>
        <v>0</v>
      </c>
      <c r="H7" s="3"/>
      <c r="I7" s="3"/>
      <c r="J7" s="3"/>
      <c r="K7" s="8" t="e">
        <f>IF(VLOOKUP(C7,'part c-100%'!$D$7:$E$157,1,0)=FALSE,"100%","100%")</f>
        <v>#N/A</v>
      </c>
      <c r="L7" t="e">
        <f>INDEX('part c-100%'!$AF$7:$AF$155,MATCH(kanban!C7,'part c-100%'!$D$7:$D$155,),)</f>
        <v>#N/A</v>
      </c>
    </row>
    <row r="8" spans="1:12" ht="25.5">
      <c r="A8" s="3" t="s">
        <v>395</v>
      </c>
      <c r="B8" s="3" t="s">
        <v>928</v>
      </c>
      <c r="C8" s="3" t="s">
        <v>929</v>
      </c>
      <c r="D8" s="3" t="s">
        <v>930</v>
      </c>
      <c r="E8" s="3" t="s">
        <v>931</v>
      </c>
      <c r="F8" s="3" t="s">
        <v>634</v>
      </c>
      <c r="G8" s="3" t="s">
        <v>932</v>
      </c>
      <c r="H8" s="3" t="s">
        <v>198</v>
      </c>
      <c r="I8" s="3" t="s">
        <v>199</v>
      </c>
      <c r="J8" s="3" t="s">
        <v>933</v>
      </c>
      <c r="K8" s="8" t="e">
        <f>IF(VLOOKUP(C8,'part c-100%'!$D$7:$E$157,1,0)=FALSE,"100%","100%")</f>
        <v>#N/A</v>
      </c>
      <c r="L8" t="e">
        <f>INDEX('part c-100%'!$AF$7:$AF$155,MATCH(kanban!C8,'part c-100%'!$D$7:$D$155,),)</f>
        <v>#N/A</v>
      </c>
    </row>
    <row r="9" spans="1:12" ht="25.5" customHeight="1">
      <c r="A9" s="3"/>
      <c r="B9" s="3"/>
      <c r="C9" s="3"/>
      <c r="D9" s="3"/>
      <c r="E9" s="3"/>
      <c r="F9" s="3"/>
      <c r="G9" s="3">
        <f>SUBTOTAL(9,G8:G8)</f>
        <v>0</v>
      </c>
      <c r="H9" s="3"/>
      <c r="I9" s="3"/>
      <c r="J9" s="3"/>
      <c r="K9" s="8" t="e">
        <f>IF(VLOOKUP(C9,'part c-100%'!$D$7:$E$157,1,0)=FALSE,"100%","100%")</f>
        <v>#N/A</v>
      </c>
      <c r="L9" t="e">
        <f>INDEX('part c-100%'!$AF$7:$AF$155,MATCH(kanban!C9,'part c-100%'!$D$7:$D$155,),)</f>
        <v>#N/A</v>
      </c>
    </row>
    <row r="10" spans="1:12" ht="25.5" customHeight="1">
      <c r="A10" s="3" t="s">
        <v>605</v>
      </c>
      <c r="B10" s="3" t="s">
        <v>934</v>
      </c>
      <c r="C10" s="3" t="s">
        <v>935</v>
      </c>
      <c r="D10" s="3" t="s">
        <v>936</v>
      </c>
      <c r="E10" s="3" t="s">
        <v>1010</v>
      </c>
      <c r="F10" s="3" t="s">
        <v>217</v>
      </c>
      <c r="G10" s="3" t="s">
        <v>1008</v>
      </c>
      <c r="H10" s="3" t="s">
        <v>198</v>
      </c>
      <c r="I10" s="3" t="s">
        <v>199</v>
      </c>
      <c r="J10" s="3" t="s">
        <v>933</v>
      </c>
      <c r="K10" s="8" t="e">
        <f>IF(VLOOKUP(C10,'part c-100%'!$D$7:$E$157,1,0)=FALSE,"100%","100%")</f>
        <v>#N/A</v>
      </c>
      <c r="L10" t="e">
        <f>INDEX('part c-100%'!$AF$7:$AF$155,MATCH(kanban!C10,'part c-100%'!$D$7:$D$155,),)</f>
        <v>#N/A</v>
      </c>
    </row>
    <row r="11" spans="1:12">
      <c r="A11" s="3"/>
      <c r="B11" s="3"/>
      <c r="C11" s="3"/>
      <c r="D11" s="3"/>
      <c r="E11" s="3"/>
      <c r="F11" s="3"/>
      <c r="G11" s="3">
        <f>SUBTOTAL(9,G10:G10)</f>
        <v>0</v>
      </c>
      <c r="H11" s="3"/>
      <c r="I11" s="3"/>
      <c r="J11" s="3"/>
      <c r="K11" s="8" t="e">
        <f>IF(VLOOKUP(C11,'part c-100%'!$D$7:$E$157,1,0)=FALSE,"100%","100%")</f>
        <v>#N/A</v>
      </c>
      <c r="L11" t="e">
        <f>INDEX('part c-100%'!$AF$7:$AF$155,MATCH(kanban!C11,'part c-100%'!$D$7:$D$155,),)</f>
        <v>#N/A</v>
      </c>
    </row>
    <row r="12" spans="1:12" ht="25.5" customHeight="1">
      <c r="A12" s="3" t="s">
        <v>425</v>
      </c>
      <c r="B12" s="3" t="s">
        <v>739</v>
      </c>
      <c r="C12" s="3" t="s">
        <v>195</v>
      </c>
      <c r="D12" s="3" t="s">
        <v>196</v>
      </c>
      <c r="E12" s="3" t="s">
        <v>1009</v>
      </c>
      <c r="F12" s="3" t="s">
        <v>197</v>
      </c>
      <c r="G12" s="3" t="s">
        <v>741</v>
      </c>
      <c r="H12" s="3" t="s">
        <v>198</v>
      </c>
      <c r="I12" s="3" t="s">
        <v>199</v>
      </c>
      <c r="J12" s="3"/>
      <c r="K12" s="8" t="str">
        <f>IF(VLOOKUP(C12,'part c-100%'!$D$7:$E$157,1,0)=FALSE,"100%","100%")</f>
        <v>100%</v>
      </c>
      <c r="L12" t="str">
        <f>INDEX('part c-100%'!$AF$7:$AF$155,MATCH(kanban!C12,'part c-100%'!$D$7:$D$155,),)</f>
        <v>FIKRI</v>
      </c>
    </row>
    <row r="13" spans="1:12" ht="25.5" customHeight="1">
      <c r="A13" s="3"/>
      <c r="B13" s="3"/>
      <c r="C13" s="3"/>
      <c r="D13" s="3"/>
      <c r="E13" s="3"/>
      <c r="F13" s="3"/>
      <c r="G13" s="3">
        <f>SUBTOTAL(9,G12:G12)</f>
        <v>0</v>
      </c>
      <c r="H13" s="3"/>
      <c r="I13" s="3"/>
      <c r="J13" s="3"/>
      <c r="K13" s="8" t="e">
        <f>IF(VLOOKUP(C13,'part c-100%'!$D$7:$E$157,1,0)=FALSE,"100%","100%")</f>
        <v>#N/A</v>
      </c>
      <c r="L13" t="e">
        <f>INDEX('part c-100%'!$AF$7:$AF$155,MATCH(kanban!C13,'part c-100%'!$D$7:$D$155,),)</f>
        <v>#N/A</v>
      </c>
    </row>
    <row r="14" spans="1:12" ht="25.5" customHeight="1">
      <c r="A14" s="3" t="s">
        <v>534</v>
      </c>
      <c r="B14" s="3" t="s">
        <v>746</v>
      </c>
      <c r="C14" s="3" t="s">
        <v>202</v>
      </c>
      <c r="D14" s="3" t="s">
        <v>203</v>
      </c>
      <c r="E14" s="3" t="s">
        <v>736</v>
      </c>
      <c r="F14" s="3" t="s">
        <v>217</v>
      </c>
      <c r="G14" s="3" t="s">
        <v>743</v>
      </c>
      <c r="H14" s="3" t="s">
        <v>191</v>
      </c>
      <c r="I14" s="3" t="s">
        <v>192</v>
      </c>
      <c r="J14" s="3"/>
      <c r="K14" s="8" t="e">
        <f>IF(VLOOKUP(C14,'part c-100%'!$D$7:$E$157,1,0)=FALSE,"100%","100%")</f>
        <v>#N/A</v>
      </c>
      <c r="L14" t="e">
        <f>INDEX('part c-100%'!$AF$7:$AF$155,MATCH(kanban!C14,'part c-100%'!$D$7:$D$155,),)</f>
        <v>#N/A</v>
      </c>
    </row>
    <row r="15" spans="1:12" ht="25.5">
      <c r="A15" s="3" t="s">
        <v>574</v>
      </c>
      <c r="B15" s="3" t="s">
        <v>747</v>
      </c>
      <c r="C15" s="3" t="s">
        <v>672</v>
      </c>
      <c r="D15" s="3" t="s">
        <v>673</v>
      </c>
      <c r="E15" s="3" t="s">
        <v>736</v>
      </c>
      <c r="F15" s="3" t="s">
        <v>748</v>
      </c>
      <c r="G15" s="3" t="s">
        <v>743</v>
      </c>
      <c r="H15" s="3" t="s">
        <v>191</v>
      </c>
      <c r="I15" s="3" t="s">
        <v>192</v>
      </c>
      <c r="J15" s="3"/>
      <c r="K15" s="8" t="e">
        <f>IF(VLOOKUP(C15,'part c-100%'!$D$7:$E$157,1,0)=FALSE,"100%","100%")</f>
        <v>#N/A</v>
      </c>
      <c r="L15" t="e">
        <f>INDEX('part c-100%'!$AF$7:$AF$155,MATCH(kanban!C15,'part c-100%'!$D$7:$D$155,),)</f>
        <v>#N/A</v>
      </c>
    </row>
    <row r="16" spans="1:12" ht="25.5">
      <c r="A16" s="3" t="s">
        <v>544</v>
      </c>
      <c r="B16" s="3" t="s">
        <v>744</v>
      </c>
      <c r="C16" s="3" t="s">
        <v>204</v>
      </c>
      <c r="D16" s="3" t="s">
        <v>203</v>
      </c>
      <c r="E16" s="3" t="s">
        <v>736</v>
      </c>
      <c r="F16" s="3" t="s">
        <v>745</v>
      </c>
      <c r="G16" s="3" t="s">
        <v>743</v>
      </c>
      <c r="H16" s="3" t="s">
        <v>191</v>
      </c>
      <c r="I16" s="3" t="s">
        <v>192</v>
      </c>
      <c r="J16" s="3"/>
      <c r="K16" s="8" t="str">
        <f>IF(VLOOKUP(C16,'part c-100%'!$D$7:$E$157,1,0)=FALSE,"100%","100%")</f>
        <v>100%</v>
      </c>
      <c r="L16" t="str">
        <f>INDEX('part c-100%'!$AF$7:$AF$155,MATCH(kanban!C16,'part c-100%'!$D$7:$D$155,),)</f>
        <v>WULAN</v>
      </c>
    </row>
    <row r="17" spans="1:12" ht="25.5" customHeight="1">
      <c r="A17" s="3" t="s">
        <v>545</v>
      </c>
      <c r="B17" s="3" t="s">
        <v>457</v>
      </c>
      <c r="C17" s="3" t="s">
        <v>200</v>
      </c>
      <c r="D17" s="3" t="s">
        <v>201</v>
      </c>
      <c r="E17" s="3" t="s">
        <v>736</v>
      </c>
      <c r="F17" s="3" t="s">
        <v>742</v>
      </c>
      <c r="G17" s="3" t="s">
        <v>743</v>
      </c>
      <c r="H17" s="3" t="s">
        <v>191</v>
      </c>
      <c r="I17" s="3" t="s">
        <v>192</v>
      </c>
      <c r="J17" s="3"/>
      <c r="K17" s="8" t="e">
        <f>IF(VLOOKUP(C17,'part c-100%'!$D$7:$E$157,1,0)=FALSE,"100%","100%")</f>
        <v>#N/A</v>
      </c>
      <c r="L17" t="e">
        <f>INDEX('part c-100%'!$AF$7:$AF$155,MATCH(kanban!C17,'part c-100%'!$D$7:$D$155,),)</f>
        <v>#N/A</v>
      </c>
    </row>
    <row r="18" spans="1:12" ht="25.5" customHeight="1">
      <c r="A18" s="3" t="s">
        <v>546</v>
      </c>
      <c r="B18" s="3" t="s">
        <v>751</v>
      </c>
      <c r="C18" s="3" t="s">
        <v>483</v>
      </c>
      <c r="D18" s="3" t="s">
        <v>484</v>
      </c>
      <c r="E18" s="3" t="s">
        <v>749</v>
      </c>
      <c r="F18" s="3" t="s">
        <v>752</v>
      </c>
      <c r="G18" s="3" t="s">
        <v>743</v>
      </c>
      <c r="H18" s="3" t="s">
        <v>191</v>
      </c>
      <c r="I18" s="3" t="s">
        <v>192</v>
      </c>
      <c r="J18" s="3"/>
      <c r="K18" s="8" t="e">
        <f>IF(VLOOKUP(C18,'part c-100%'!$D$7:$E$157,1,0)=FALSE,"100%","100%")</f>
        <v>#N/A</v>
      </c>
      <c r="L18" t="e">
        <f>INDEX('part c-100%'!$AF$7:$AF$155,MATCH(kanban!C18,'part c-100%'!$D$7:$D$155,),)</f>
        <v>#N/A</v>
      </c>
    </row>
    <row r="19" spans="1:12" s="52" customFormat="1" ht="25.5" customHeight="1">
      <c r="A19" s="3" t="s">
        <v>577</v>
      </c>
      <c r="B19" s="3" t="s">
        <v>603</v>
      </c>
      <c r="C19" s="3" t="s">
        <v>209</v>
      </c>
      <c r="D19" s="3" t="s">
        <v>210</v>
      </c>
      <c r="E19" s="3" t="s">
        <v>749</v>
      </c>
      <c r="F19" s="3" t="s">
        <v>374</v>
      </c>
      <c r="G19" s="3" t="s">
        <v>743</v>
      </c>
      <c r="H19" s="3" t="s">
        <v>191</v>
      </c>
      <c r="I19" s="3" t="s">
        <v>192</v>
      </c>
      <c r="J19" s="3"/>
      <c r="K19" s="51" t="str">
        <f>IF(VLOOKUP(C19,'part c-100%'!$D$7:$E$157,1,0)=FALSE,"100%","100%")</f>
        <v>100%</v>
      </c>
      <c r="L19" t="str">
        <f>INDEX('part c-100%'!$AF$7:$AF$155,MATCH(kanban!C19,'part c-100%'!$D$7:$D$155,),)</f>
        <v>WULAN</v>
      </c>
    </row>
    <row r="20" spans="1:12" ht="25.5" customHeight="1">
      <c r="A20" s="3" t="s">
        <v>551</v>
      </c>
      <c r="B20" s="3" t="s">
        <v>602</v>
      </c>
      <c r="C20" s="3" t="s">
        <v>207</v>
      </c>
      <c r="D20" s="3" t="s">
        <v>329</v>
      </c>
      <c r="E20" s="3" t="s">
        <v>749</v>
      </c>
      <c r="F20" s="3" t="s">
        <v>374</v>
      </c>
      <c r="G20" s="3" t="s">
        <v>743</v>
      </c>
      <c r="H20" s="3" t="s">
        <v>191</v>
      </c>
      <c r="I20" s="3" t="s">
        <v>208</v>
      </c>
      <c r="J20" s="3"/>
      <c r="K20" s="8" t="str">
        <f>IF(VLOOKUP(C20,'part c-100%'!$D$7:$E$157,1,0)=FALSE,"100%","100%")</f>
        <v>100%</v>
      </c>
      <c r="L20" t="str">
        <f>INDEX('part c-100%'!$AF$7:$AF$155,MATCH(kanban!C20,'part c-100%'!$D$7:$D$155,),)</f>
        <v>FINASI</v>
      </c>
    </row>
    <row r="21" spans="1:12" ht="25.5" customHeight="1">
      <c r="A21" s="3" t="s">
        <v>552</v>
      </c>
      <c r="B21" s="3" t="s">
        <v>750</v>
      </c>
      <c r="C21" s="3" t="s">
        <v>213</v>
      </c>
      <c r="D21" s="3" t="s">
        <v>657</v>
      </c>
      <c r="E21" s="3" t="s">
        <v>749</v>
      </c>
      <c r="F21" s="3" t="s">
        <v>214</v>
      </c>
      <c r="G21" s="3" t="s">
        <v>743</v>
      </c>
      <c r="H21" s="3" t="s">
        <v>191</v>
      </c>
      <c r="I21" s="3" t="s">
        <v>192</v>
      </c>
      <c r="J21" s="3"/>
      <c r="K21" s="8" t="str">
        <f>IF(VLOOKUP(C21,'part c-100%'!$D$7:$E$157,1,0)=FALSE,"100%","100%")</f>
        <v>100%</v>
      </c>
      <c r="L21" t="str">
        <f>INDEX('part c-100%'!$AF$7:$AF$155,MATCH(kanban!C21,'part c-100%'!$D$7:$D$155,),)</f>
        <v>WULAN</v>
      </c>
    </row>
    <row r="22" spans="1:12" ht="25.5" customHeight="1">
      <c r="A22" s="3" t="s">
        <v>580</v>
      </c>
      <c r="B22" s="3" t="s">
        <v>756</v>
      </c>
      <c r="C22" s="3" t="s">
        <v>205</v>
      </c>
      <c r="D22" s="3" t="s">
        <v>206</v>
      </c>
      <c r="E22" s="3" t="s">
        <v>737</v>
      </c>
      <c r="F22" s="3" t="s">
        <v>253</v>
      </c>
      <c r="G22" s="3" t="s">
        <v>743</v>
      </c>
      <c r="H22" s="3" t="s">
        <v>191</v>
      </c>
      <c r="I22" s="3" t="s">
        <v>192</v>
      </c>
      <c r="J22" s="3"/>
      <c r="K22" s="8" t="e">
        <f>IF(VLOOKUP(C22,'part c-100%'!$D$7:$E$157,1,0)=FALSE,"100%","100%")</f>
        <v>#N/A</v>
      </c>
      <c r="L22" t="e">
        <f>INDEX('part c-100%'!$AF$7:$AF$155,MATCH(kanban!C22,'part c-100%'!$D$7:$D$155,),)</f>
        <v>#N/A</v>
      </c>
    </row>
    <row r="23" spans="1:12" ht="25.5" customHeight="1">
      <c r="A23" s="3" t="s">
        <v>539</v>
      </c>
      <c r="B23" s="3" t="s">
        <v>616</v>
      </c>
      <c r="C23" s="3" t="s">
        <v>330</v>
      </c>
      <c r="D23" s="3" t="s">
        <v>331</v>
      </c>
      <c r="E23" s="3" t="s">
        <v>737</v>
      </c>
      <c r="F23" s="3" t="s">
        <v>519</v>
      </c>
      <c r="G23" s="3" t="s">
        <v>743</v>
      </c>
      <c r="H23" s="3" t="s">
        <v>191</v>
      </c>
      <c r="I23" s="3" t="s">
        <v>332</v>
      </c>
      <c r="J23" s="3"/>
      <c r="K23" s="8" t="e">
        <f>IF(VLOOKUP(C23,'part c-100%'!$D$7:$E$157,1,0)=FALSE,"100%","100%")</f>
        <v>#N/A</v>
      </c>
      <c r="L23" t="e">
        <f>INDEX('part c-100%'!$AF$7:$AF$155,MATCH(kanban!C23,'part c-100%'!$D$7:$D$155,),)</f>
        <v>#N/A</v>
      </c>
    </row>
    <row r="24" spans="1:12" ht="25.5" customHeight="1">
      <c r="A24" s="3" t="s">
        <v>581</v>
      </c>
      <c r="B24" s="3" t="s">
        <v>677</v>
      </c>
      <c r="C24" s="3" t="s">
        <v>485</v>
      </c>
      <c r="D24" s="3" t="s">
        <v>486</v>
      </c>
      <c r="E24" s="3" t="s">
        <v>737</v>
      </c>
      <c r="F24" s="3" t="s">
        <v>754</v>
      </c>
      <c r="G24" s="3" t="s">
        <v>743</v>
      </c>
      <c r="H24" s="3" t="s">
        <v>191</v>
      </c>
      <c r="I24" s="3" t="s">
        <v>192</v>
      </c>
      <c r="J24" s="3"/>
      <c r="K24" s="8" t="e">
        <f>IF(VLOOKUP(C24,'part c-100%'!$D$7:$E$157,1,0)=FALSE,"100%","100%")</f>
        <v>#N/A</v>
      </c>
      <c r="L24" t="e">
        <f>INDEX('part c-100%'!$AF$7:$AF$155,MATCH(kanban!C24,'part c-100%'!$D$7:$D$155,),)</f>
        <v>#N/A</v>
      </c>
    </row>
    <row r="25" spans="1:12" ht="25.5" customHeight="1">
      <c r="A25" s="3" t="s">
        <v>557</v>
      </c>
      <c r="B25" s="3" t="s">
        <v>753</v>
      </c>
      <c r="C25" s="3" t="s">
        <v>195</v>
      </c>
      <c r="D25" s="3" t="s">
        <v>196</v>
      </c>
      <c r="E25" s="3" t="s">
        <v>737</v>
      </c>
      <c r="F25" s="3" t="s">
        <v>197</v>
      </c>
      <c r="G25" s="3" t="s">
        <v>743</v>
      </c>
      <c r="H25" s="3" t="s">
        <v>191</v>
      </c>
      <c r="I25" s="3" t="s">
        <v>192</v>
      </c>
      <c r="J25" s="3"/>
      <c r="K25" s="8" t="str">
        <f>IF(VLOOKUP(C25,'part c-100%'!$D$7:$E$157,1,0)=FALSE,"100%","100%")</f>
        <v>100%</v>
      </c>
      <c r="L25" t="str">
        <f>INDEX('part c-100%'!$AF$7:$AF$155,MATCH(kanban!C25,'part c-100%'!$D$7:$D$155,),)</f>
        <v>FIKRI</v>
      </c>
    </row>
    <row r="26" spans="1:12" ht="25.5" customHeight="1">
      <c r="A26" s="3" t="s">
        <v>558</v>
      </c>
      <c r="B26" s="3" t="s">
        <v>513</v>
      </c>
      <c r="C26" s="3" t="s">
        <v>333</v>
      </c>
      <c r="D26" s="3" t="s">
        <v>334</v>
      </c>
      <c r="E26" s="3" t="s">
        <v>737</v>
      </c>
      <c r="F26" s="3" t="s">
        <v>755</v>
      </c>
      <c r="G26" s="3" t="s">
        <v>743</v>
      </c>
      <c r="H26" s="3" t="s">
        <v>191</v>
      </c>
      <c r="I26" s="3" t="s">
        <v>208</v>
      </c>
      <c r="J26" s="3"/>
      <c r="K26" s="8" t="str">
        <f>IF(VLOOKUP(C26,'part c-100%'!$D$7:$E$157,1,0)=FALSE,"100%","100%")</f>
        <v>100%</v>
      </c>
      <c r="L26" t="str">
        <f>INDEX('part c-100%'!$AF$7:$AF$155,MATCH(kanban!C26,'part c-100%'!$D$7:$D$155,),)</f>
        <v>ANGGIT</v>
      </c>
    </row>
    <row r="27" spans="1:12" ht="25.5" customHeight="1">
      <c r="A27" s="3" t="s">
        <v>467</v>
      </c>
      <c r="B27" s="3" t="s">
        <v>937</v>
      </c>
      <c r="C27" s="3" t="s">
        <v>202</v>
      </c>
      <c r="D27" s="3" t="s">
        <v>203</v>
      </c>
      <c r="E27" s="3" t="s">
        <v>938</v>
      </c>
      <c r="F27" s="3" t="s">
        <v>634</v>
      </c>
      <c r="G27" s="3" t="s">
        <v>743</v>
      </c>
      <c r="H27" s="3" t="s">
        <v>191</v>
      </c>
      <c r="I27" s="3" t="s">
        <v>192</v>
      </c>
      <c r="J27" s="3"/>
      <c r="K27" s="8" t="e">
        <f>IF(VLOOKUP(C27,'part c-100%'!$D$7:$E$157,1,0)=FALSE,"100%","100%")</f>
        <v>#N/A</v>
      </c>
      <c r="L27" t="e">
        <f>INDEX('part c-100%'!$AF$7:$AF$155,MATCH(kanban!C27,'part c-100%'!$D$7:$D$155,),)</f>
        <v>#N/A</v>
      </c>
    </row>
    <row r="28" spans="1:12" ht="25.5" customHeight="1">
      <c r="A28" s="3"/>
      <c r="B28" s="3"/>
      <c r="C28" s="3"/>
      <c r="D28" s="3"/>
      <c r="E28" s="3"/>
      <c r="F28" s="3"/>
      <c r="G28" s="3">
        <f>SUBTOTAL(9,G14:G27)</f>
        <v>0</v>
      </c>
      <c r="H28" s="3"/>
      <c r="I28" s="3"/>
      <c r="J28" s="3"/>
      <c r="K28" s="8" t="e">
        <f>IF(VLOOKUP(C28,'part c-100%'!$D$7:$E$157,1,0)=FALSE,"100%","100%")</f>
        <v>#N/A</v>
      </c>
      <c r="L28" t="e">
        <f>INDEX('part c-100%'!$AF$7:$AF$155,MATCH(kanban!C28,'part c-100%'!$D$7:$D$155,),)</f>
        <v>#N/A</v>
      </c>
    </row>
    <row r="29" spans="1:12" ht="25.5" customHeight="1">
      <c r="A29" s="3" t="s">
        <v>530</v>
      </c>
      <c r="B29" s="3" t="s">
        <v>759</v>
      </c>
      <c r="C29" s="3" t="s">
        <v>202</v>
      </c>
      <c r="D29" s="3" t="s">
        <v>203</v>
      </c>
      <c r="E29" s="3" t="s">
        <v>736</v>
      </c>
      <c r="F29" s="3" t="s">
        <v>497</v>
      </c>
      <c r="G29" s="3" t="s">
        <v>758</v>
      </c>
      <c r="H29" s="3" t="s">
        <v>191</v>
      </c>
      <c r="I29" s="3" t="s">
        <v>192</v>
      </c>
      <c r="J29" s="3"/>
      <c r="K29" s="8" t="e">
        <f>IF(VLOOKUP(C29,'part c-100%'!$D$7:$E$157,1,0)=FALSE,"100%","100%")</f>
        <v>#N/A</v>
      </c>
      <c r="L29" t="e">
        <f>INDEX('part c-100%'!$AF$7:$AF$155,MATCH(kanban!C29,'part c-100%'!$D$7:$D$155,),)</f>
        <v>#N/A</v>
      </c>
    </row>
    <row r="30" spans="1:12" ht="25.5" customHeight="1">
      <c r="A30" s="3" t="s">
        <v>600</v>
      </c>
      <c r="B30" s="3" t="s">
        <v>757</v>
      </c>
      <c r="C30" s="3" t="s">
        <v>672</v>
      </c>
      <c r="D30" s="3" t="s">
        <v>673</v>
      </c>
      <c r="E30" s="3" t="s">
        <v>736</v>
      </c>
      <c r="F30" s="3" t="s">
        <v>211</v>
      </c>
      <c r="G30" s="3" t="s">
        <v>758</v>
      </c>
      <c r="H30" s="3" t="s">
        <v>191</v>
      </c>
      <c r="I30" s="3" t="s">
        <v>192</v>
      </c>
      <c r="J30" s="3"/>
      <c r="K30" s="8" t="e">
        <f>IF(VLOOKUP(C30,'part c-100%'!$D$7:$E$157,1,0)=FALSE,"100%","100%")</f>
        <v>#N/A</v>
      </c>
      <c r="L30" t="e">
        <f>INDEX('part c-100%'!$AF$7:$AF$155,MATCH(kanban!C30,'part c-100%'!$D$7:$D$155,),)</f>
        <v>#N/A</v>
      </c>
    </row>
    <row r="31" spans="1:12" ht="25.5" customHeight="1">
      <c r="A31" s="3" t="s">
        <v>531</v>
      </c>
      <c r="B31" s="3" t="s">
        <v>760</v>
      </c>
      <c r="C31" s="3" t="s">
        <v>200</v>
      </c>
      <c r="D31" s="3" t="s">
        <v>201</v>
      </c>
      <c r="E31" s="3" t="s">
        <v>736</v>
      </c>
      <c r="F31" s="3" t="s">
        <v>761</v>
      </c>
      <c r="G31" s="3" t="s">
        <v>758</v>
      </c>
      <c r="H31" s="3" t="s">
        <v>191</v>
      </c>
      <c r="I31" s="3" t="s">
        <v>192</v>
      </c>
      <c r="J31" s="3"/>
      <c r="K31" s="8" t="e">
        <f>IF(VLOOKUP(C31,'part c-100%'!$D$7:$E$157,1,0)=FALSE,"100%","100%")</f>
        <v>#N/A</v>
      </c>
      <c r="L31" t="e">
        <f>INDEX('part c-100%'!$AF$7:$AF$155,MATCH(kanban!C31,'part c-100%'!$D$7:$D$155,),)</f>
        <v>#N/A</v>
      </c>
    </row>
    <row r="32" spans="1:12" ht="25.5" customHeight="1">
      <c r="A32" s="3" t="s">
        <v>575</v>
      </c>
      <c r="B32" s="3" t="s">
        <v>615</v>
      </c>
      <c r="C32" s="3" t="s">
        <v>204</v>
      </c>
      <c r="D32" s="3" t="s">
        <v>203</v>
      </c>
      <c r="E32" s="3" t="s">
        <v>736</v>
      </c>
      <c r="F32" s="3" t="s">
        <v>678</v>
      </c>
      <c r="G32" s="3" t="s">
        <v>758</v>
      </c>
      <c r="H32" s="3" t="s">
        <v>191</v>
      </c>
      <c r="I32" s="3" t="s">
        <v>192</v>
      </c>
      <c r="J32" s="3"/>
      <c r="K32" s="8" t="str">
        <f>IF(VLOOKUP(C32,'part c-100%'!$D$7:$E$157,1,0)=FALSE,"100%","100%")</f>
        <v>100%</v>
      </c>
      <c r="L32" t="str">
        <f>INDEX('part c-100%'!$AF$7:$AF$155,MATCH(kanban!C32,'part c-100%'!$D$7:$D$155,),)</f>
        <v>WULAN</v>
      </c>
    </row>
    <row r="33" spans="1:12" ht="25.5" customHeight="1">
      <c r="A33" s="3" t="s">
        <v>576</v>
      </c>
      <c r="B33" s="3" t="s">
        <v>762</v>
      </c>
      <c r="C33" s="3" t="s">
        <v>763</v>
      </c>
      <c r="D33" s="3" t="s">
        <v>764</v>
      </c>
      <c r="E33" s="3" t="s">
        <v>749</v>
      </c>
      <c r="F33" s="3" t="s">
        <v>406</v>
      </c>
      <c r="G33" s="3" t="s">
        <v>758</v>
      </c>
      <c r="H33" s="3" t="s">
        <v>191</v>
      </c>
      <c r="I33" s="3" t="s">
        <v>192</v>
      </c>
      <c r="J33" s="3"/>
      <c r="K33" s="8" t="e">
        <f>IF(VLOOKUP(C33,'part c-100%'!$D$7:$E$157,1,0)=FALSE,"100%","100%")</f>
        <v>#N/A</v>
      </c>
      <c r="L33" t="e">
        <f>INDEX('part c-100%'!$AF$7:$AF$155,MATCH(kanban!C33,'part c-100%'!$D$7:$D$155,),)</f>
        <v>#N/A</v>
      </c>
    </row>
    <row r="34" spans="1:12" ht="25.5" customHeight="1">
      <c r="A34" s="3" t="s">
        <v>536</v>
      </c>
      <c r="B34" s="3" t="s">
        <v>765</v>
      </c>
      <c r="C34" s="3" t="s">
        <v>209</v>
      </c>
      <c r="D34" s="3" t="s">
        <v>210</v>
      </c>
      <c r="E34" s="3" t="s">
        <v>749</v>
      </c>
      <c r="F34" s="3" t="s">
        <v>211</v>
      </c>
      <c r="G34" s="3" t="s">
        <v>758</v>
      </c>
      <c r="H34" s="3" t="s">
        <v>191</v>
      </c>
      <c r="I34" s="3" t="s">
        <v>192</v>
      </c>
      <c r="J34" s="3"/>
      <c r="K34" s="8" t="str">
        <f>IF(VLOOKUP(C34,'part c-100%'!$D$7:$E$157,1,0)=FALSE,"100%","100%")</f>
        <v>100%</v>
      </c>
      <c r="L34" t="str">
        <f>INDEX('part c-100%'!$AF$7:$AF$155,MATCH(kanban!C34,'part c-100%'!$D$7:$D$155,),)</f>
        <v>WULAN</v>
      </c>
    </row>
    <row r="35" spans="1:12" ht="25.5" customHeight="1">
      <c r="A35" s="3" t="s">
        <v>548</v>
      </c>
      <c r="B35" s="3" t="s">
        <v>769</v>
      </c>
      <c r="C35" s="3" t="s">
        <v>483</v>
      </c>
      <c r="D35" s="3" t="s">
        <v>484</v>
      </c>
      <c r="E35" s="3" t="s">
        <v>749</v>
      </c>
      <c r="F35" s="3" t="s">
        <v>679</v>
      </c>
      <c r="G35" s="3" t="s">
        <v>758</v>
      </c>
      <c r="H35" s="3" t="s">
        <v>191</v>
      </c>
      <c r="I35" s="3" t="s">
        <v>192</v>
      </c>
      <c r="J35" s="3"/>
      <c r="K35" s="8" t="e">
        <f>IF(VLOOKUP(C35,'part c-100%'!$D$7:$E$157,1,0)=FALSE,"100%","100%")</f>
        <v>#N/A</v>
      </c>
      <c r="L35" t="e">
        <f>INDEX('part c-100%'!$AF$7:$AF$155,MATCH(kanban!C35,'part c-100%'!$D$7:$D$155,),)</f>
        <v>#N/A</v>
      </c>
    </row>
    <row r="36" spans="1:12" ht="25.5" customHeight="1">
      <c r="A36" s="3" t="s">
        <v>538</v>
      </c>
      <c r="B36" s="3" t="s">
        <v>766</v>
      </c>
      <c r="C36" s="3" t="s">
        <v>767</v>
      </c>
      <c r="D36" s="3" t="s">
        <v>768</v>
      </c>
      <c r="E36" s="3" t="s">
        <v>749</v>
      </c>
      <c r="F36" s="3" t="s">
        <v>253</v>
      </c>
      <c r="G36" s="3" t="s">
        <v>758</v>
      </c>
      <c r="H36" s="3" t="s">
        <v>191</v>
      </c>
      <c r="I36" s="3" t="s">
        <v>192</v>
      </c>
      <c r="J36" s="3" t="s">
        <v>193</v>
      </c>
      <c r="K36" s="8" t="e">
        <f>IF(VLOOKUP(C36,'part c-100%'!$D$7:$E$157,1,0)=FALSE,"100%","100%")</f>
        <v>#N/A</v>
      </c>
      <c r="L36" t="e">
        <f>INDEX('part c-100%'!$AF$7:$AF$155,MATCH(kanban!C36,'part c-100%'!$D$7:$D$155,),)</f>
        <v>#N/A</v>
      </c>
    </row>
    <row r="37" spans="1:12" ht="25.5" customHeight="1">
      <c r="A37" s="3" t="s">
        <v>579</v>
      </c>
      <c r="B37" s="3" t="s">
        <v>770</v>
      </c>
      <c r="C37" s="3" t="s">
        <v>207</v>
      </c>
      <c r="D37" s="3" t="s">
        <v>329</v>
      </c>
      <c r="E37" s="3" t="s">
        <v>749</v>
      </c>
      <c r="F37" s="3" t="s">
        <v>211</v>
      </c>
      <c r="G37" s="3" t="s">
        <v>758</v>
      </c>
      <c r="H37" s="3" t="s">
        <v>191</v>
      </c>
      <c r="I37" s="3" t="s">
        <v>208</v>
      </c>
      <c r="J37" s="3"/>
      <c r="K37" s="8" t="str">
        <f>IF(VLOOKUP(C37,'part c-100%'!$D$7:$E$157,1,0)=FALSE,"100%","100%")</f>
        <v>100%</v>
      </c>
      <c r="L37" t="str">
        <f>INDEX('part c-100%'!$AF$7:$AF$155,MATCH(kanban!C37,'part c-100%'!$D$7:$D$155,),)</f>
        <v>FINASI</v>
      </c>
    </row>
    <row r="38" spans="1:12" ht="25.5" customHeight="1">
      <c r="A38" s="3" t="s">
        <v>554</v>
      </c>
      <c r="B38" s="3" t="s">
        <v>771</v>
      </c>
      <c r="C38" s="3" t="s">
        <v>610</v>
      </c>
      <c r="D38" s="3" t="s">
        <v>611</v>
      </c>
      <c r="E38" s="3" t="s">
        <v>737</v>
      </c>
      <c r="F38" s="3" t="s">
        <v>385</v>
      </c>
      <c r="G38" s="3" t="s">
        <v>758</v>
      </c>
      <c r="H38" s="3" t="s">
        <v>191</v>
      </c>
      <c r="I38" s="3" t="s">
        <v>192</v>
      </c>
      <c r="J38" s="3"/>
      <c r="K38" s="8" t="e">
        <f>IF(VLOOKUP(C38,'part c-100%'!$D$7:$E$157,1,0)=FALSE,"100%","100%")</f>
        <v>#N/A</v>
      </c>
      <c r="L38" t="e">
        <f>INDEX('part c-100%'!$AF$7:$AF$155,MATCH(kanban!C38,'part c-100%'!$D$7:$D$155,),)</f>
        <v>#N/A</v>
      </c>
    </row>
    <row r="39" spans="1:12" ht="25.5" customHeight="1">
      <c r="A39" s="3" t="s">
        <v>555</v>
      </c>
      <c r="B39" s="3" t="s">
        <v>774</v>
      </c>
      <c r="C39" s="3" t="s">
        <v>333</v>
      </c>
      <c r="D39" s="3" t="s">
        <v>334</v>
      </c>
      <c r="E39" s="3" t="s">
        <v>737</v>
      </c>
      <c r="F39" s="3" t="s">
        <v>775</v>
      </c>
      <c r="G39" s="3" t="s">
        <v>758</v>
      </c>
      <c r="H39" s="3" t="s">
        <v>191</v>
      </c>
      <c r="I39" s="3" t="s">
        <v>208</v>
      </c>
      <c r="J39" s="3"/>
      <c r="K39" s="8" t="str">
        <f>IF(VLOOKUP(C39,'part c-100%'!$D$7:$E$157,1,0)=FALSE,"100%","100%")</f>
        <v>100%</v>
      </c>
      <c r="L39" t="str">
        <f>INDEX('part c-100%'!$AF$7:$AF$155,MATCH(kanban!C39,'part c-100%'!$D$7:$D$155,),)</f>
        <v>ANGGIT</v>
      </c>
    </row>
    <row r="40" spans="1:12" ht="25.5" customHeight="1">
      <c r="A40" s="3" t="s">
        <v>540</v>
      </c>
      <c r="B40" s="3" t="s">
        <v>773</v>
      </c>
      <c r="C40" s="3" t="s">
        <v>330</v>
      </c>
      <c r="D40" s="3" t="s">
        <v>331</v>
      </c>
      <c r="E40" s="3" t="s">
        <v>737</v>
      </c>
      <c r="F40" s="3" t="s">
        <v>374</v>
      </c>
      <c r="G40" s="3" t="s">
        <v>758</v>
      </c>
      <c r="H40" s="3" t="s">
        <v>191</v>
      </c>
      <c r="I40" s="3" t="s">
        <v>332</v>
      </c>
      <c r="J40" s="3"/>
      <c r="K40" s="8" t="e">
        <f>IF(VLOOKUP(C40,'part c-100%'!$D$7:$E$157,1,0)=FALSE,"100%","100%")</f>
        <v>#N/A</v>
      </c>
      <c r="L40" t="e">
        <f>INDEX('part c-100%'!$AF$7:$AF$155,MATCH(kanban!C40,'part c-100%'!$D$7:$D$155,),)</f>
        <v>#N/A</v>
      </c>
    </row>
    <row r="41" spans="1:12" ht="25.5" customHeight="1">
      <c r="A41" s="3" t="s">
        <v>582</v>
      </c>
      <c r="B41" s="3" t="s">
        <v>772</v>
      </c>
      <c r="C41" s="3" t="s">
        <v>485</v>
      </c>
      <c r="D41" s="3" t="s">
        <v>486</v>
      </c>
      <c r="E41" s="3" t="s">
        <v>737</v>
      </c>
      <c r="F41" s="3" t="s">
        <v>718</v>
      </c>
      <c r="G41" s="3" t="s">
        <v>758</v>
      </c>
      <c r="H41" s="3" t="s">
        <v>191</v>
      </c>
      <c r="I41" s="3" t="s">
        <v>192</v>
      </c>
      <c r="J41" s="3"/>
      <c r="K41" s="8" t="e">
        <f>IF(VLOOKUP(C41,'part c-100%'!$D$7:$E$157,1,0)=FALSE,"100%","100%")</f>
        <v>#N/A</v>
      </c>
      <c r="L41" t="e">
        <f>INDEX('part c-100%'!$AF$7:$AF$155,MATCH(kanban!C41,'part c-100%'!$D$7:$D$155,),)</f>
        <v>#N/A</v>
      </c>
    </row>
    <row r="42" spans="1:12" s="52" customFormat="1" ht="25.5" customHeight="1">
      <c r="A42" s="3" t="s">
        <v>583</v>
      </c>
      <c r="B42" s="3" t="s">
        <v>776</v>
      </c>
      <c r="C42" s="3" t="s">
        <v>205</v>
      </c>
      <c r="D42" s="3" t="s">
        <v>206</v>
      </c>
      <c r="E42" s="3" t="s">
        <v>737</v>
      </c>
      <c r="F42" s="3" t="s">
        <v>731</v>
      </c>
      <c r="G42" s="3" t="s">
        <v>758</v>
      </c>
      <c r="H42" s="3" t="s">
        <v>191</v>
      </c>
      <c r="I42" s="3" t="s">
        <v>192</v>
      </c>
      <c r="J42" s="3"/>
      <c r="K42" s="51" t="e">
        <f>IF(VLOOKUP(C42,'part c-100%'!$D$7:$E$157,1,0)=FALSE,"100%","100%")</f>
        <v>#N/A</v>
      </c>
      <c r="L42" t="e">
        <f>INDEX('part c-100%'!$AF$7:$AF$155,MATCH(kanban!C42,'part c-100%'!$D$7:$D$155,),)</f>
        <v>#N/A</v>
      </c>
    </row>
    <row r="43" spans="1:12" ht="25.5" customHeight="1">
      <c r="A43" s="3" t="s">
        <v>589</v>
      </c>
      <c r="B43" s="3" t="s">
        <v>777</v>
      </c>
      <c r="C43" s="3" t="s">
        <v>335</v>
      </c>
      <c r="D43" s="3" t="s">
        <v>728</v>
      </c>
      <c r="E43" s="3" t="s">
        <v>778</v>
      </c>
      <c r="F43" s="3" t="s">
        <v>197</v>
      </c>
      <c r="G43" s="3" t="s">
        <v>758</v>
      </c>
      <c r="H43" s="3" t="s">
        <v>191</v>
      </c>
      <c r="I43" s="3" t="s">
        <v>192</v>
      </c>
      <c r="J43" s="3"/>
      <c r="K43" s="8" t="str">
        <f>IF(VLOOKUP(C43,'part c-100%'!$D$7:$E$157,1,0)=FALSE,"100%","100%")</f>
        <v>100%</v>
      </c>
      <c r="L43" t="str">
        <f>INDEX('part c-100%'!$AF$7:$AF$155,MATCH(kanban!C43,'part c-100%'!$D$7:$D$155,),)</f>
        <v>FIKRI</v>
      </c>
    </row>
    <row r="44" spans="1:12" ht="25.5" customHeight="1">
      <c r="A44" s="3" t="s">
        <v>561</v>
      </c>
      <c r="B44" s="3" t="s">
        <v>791</v>
      </c>
      <c r="C44" s="3" t="s">
        <v>306</v>
      </c>
      <c r="D44" s="3" t="s">
        <v>687</v>
      </c>
      <c r="E44" s="3" t="s">
        <v>780</v>
      </c>
      <c r="F44" s="3" t="s">
        <v>217</v>
      </c>
      <c r="G44" s="3" t="s">
        <v>758</v>
      </c>
      <c r="H44" s="3" t="s">
        <v>191</v>
      </c>
      <c r="I44" s="3" t="s">
        <v>192</v>
      </c>
      <c r="J44" s="3"/>
      <c r="K44" s="8" t="str">
        <f>IF(VLOOKUP(C44,'part c-100%'!$D$7:$E$157,1,0)=FALSE,"100%","100%")</f>
        <v>100%</v>
      </c>
      <c r="L44" t="str">
        <f>INDEX('part c-100%'!$AF$7:$AF$155,MATCH(kanban!C44,'part c-100%'!$D$7:$D$155,),)</f>
        <v>ZAHWA</v>
      </c>
    </row>
    <row r="45" spans="1:12" ht="25.5" customHeight="1">
      <c r="A45" s="3" t="s">
        <v>562</v>
      </c>
      <c r="B45" s="3" t="s">
        <v>783</v>
      </c>
      <c r="C45" s="3" t="s">
        <v>222</v>
      </c>
      <c r="D45" s="3" t="s">
        <v>223</v>
      </c>
      <c r="E45" s="3" t="s">
        <v>780</v>
      </c>
      <c r="F45" s="3" t="s">
        <v>487</v>
      </c>
      <c r="G45" s="3" t="s">
        <v>758</v>
      </c>
      <c r="H45" s="3" t="s">
        <v>191</v>
      </c>
      <c r="I45" s="3" t="s">
        <v>192</v>
      </c>
      <c r="J45" s="3"/>
      <c r="K45" s="8" t="e">
        <f>IF(VLOOKUP(C45,'part c-100%'!$D$7:$E$157,1,0)=FALSE,"100%","100%")</f>
        <v>#N/A</v>
      </c>
      <c r="L45" t="e">
        <f>INDEX('part c-100%'!$AF$7:$AF$155,MATCH(kanban!C45,'part c-100%'!$D$7:$D$155,),)</f>
        <v>#N/A</v>
      </c>
    </row>
    <row r="46" spans="1:12" ht="25.5" customHeight="1">
      <c r="A46" s="3" t="s">
        <v>563</v>
      </c>
      <c r="B46" s="3" t="s">
        <v>782</v>
      </c>
      <c r="C46" s="3" t="s">
        <v>231</v>
      </c>
      <c r="D46" s="3" t="s">
        <v>632</v>
      </c>
      <c r="E46" s="3" t="s">
        <v>780</v>
      </c>
      <c r="F46" s="3" t="s">
        <v>217</v>
      </c>
      <c r="G46" s="3" t="s">
        <v>758</v>
      </c>
      <c r="H46" s="3" t="s">
        <v>191</v>
      </c>
      <c r="I46" s="3" t="s">
        <v>192</v>
      </c>
      <c r="J46" s="3"/>
      <c r="K46" s="8" t="str">
        <f>IF(VLOOKUP(C46,'part c-100%'!$D$7:$E$157,1,0)=FALSE,"100%","100%")</f>
        <v>100%</v>
      </c>
      <c r="L46" t="str">
        <f>INDEX('part c-100%'!$AF$7:$AF$155,MATCH(kanban!C46,'part c-100%'!$D$7:$D$155,),)</f>
        <v>ZAHWA</v>
      </c>
    </row>
    <row r="47" spans="1:12" ht="25.5" customHeight="1">
      <c r="A47" s="3" t="s">
        <v>565</v>
      </c>
      <c r="B47" s="3" t="s">
        <v>786</v>
      </c>
      <c r="C47" s="3" t="s">
        <v>224</v>
      </c>
      <c r="D47" s="3" t="s">
        <v>225</v>
      </c>
      <c r="E47" s="3" t="s">
        <v>780</v>
      </c>
      <c r="F47" s="3" t="s">
        <v>787</v>
      </c>
      <c r="G47" s="3" t="s">
        <v>758</v>
      </c>
      <c r="H47" s="3" t="s">
        <v>191</v>
      </c>
      <c r="I47" s="3" t="s">
        <v>192</v>
      </c>
      <c r="J47" s="3"/>
      <c r="K47" s="8" t="str">
        <f>IF(VLOOKUP(C47,'part c-100%'!$D$7:$E$157,1,0)=FALSE,"100%","100%")</f>
        <v>100%</v>
      </c>
      <c r="L47" t="str">
        <f>INDEX('part c-100%'!$AF$7:$AF$155,MATCH(kanban!C47,'part c-100%'!$D$7:$D$155,),)</f>
        <v>AMELIA</v>
      </c>
    </row>
    <row r="48" spans="1:12" ht="25.5" customHeight="1">
      <c r="A48" s="3" t="s">
        <v>566</v>
      </c>
      <c r="B48" s="3" t="s">
        <v>789</v>
      </c>
      <c r="C48" s="3" t="s">
        <v>498</v>
      </c>
      <c r="D48" s="3" t="s">
        <v>499</v>
      </c>
      <c r="E48" s="3" t="s">
        <v>780</v>
      </c>
      <c r="F48" s="3" t="s">
        <v>790</v>
      </c>
      <c r="G48" s="3" t="s">
        <v>758</v>
      </c>
      <c r="H48" s="3" t="s">
        <v>191</v>
      </c>
      <c r="I48" s="3" t="s">
        <v>192</v>
      </c>
      <c r="J48" s="3"/>
      <c r="K48" s="8" t="e">
        <f>IF(VLOOKUP(C48,'part c-100%'!$D$7:$E$157,1,0)=FALSE,"100%","100%")</f>
        <v>#N/A</v>
      </c>
      <c r="L48" t="e">
        <f>INDEX('part c-100%'!$AF$7:$AF$155,MATCH(kanban!C48,'part c-100%'!$D$7:$D$155,),)</f>
        <v>#N/A</v>
      </c>
    </row>
    <row r="49" spans="1:12" ht="25.5" customHeight="1">
      <c r="A49" s="3" t="s">
        <v>521</v>
      </c>
      <c r="B49" s="3" t="s">
        <v>781</v>
      </c>
      <c r="C49" s="3" t="s">
        <v>227</v>
      </c>
      <c r="D49" s="3" t="s">
        <v>680</v>
      </c>
      <c r="E49" s="3" t="s">
        <v>780</v>
      </c>
      <c r="F49" s="3" t="s">
        <v>217</v>
      </c>
      <c r="G49" s="3" t="s">
        <v>758</v>
      </c>
      <c r="H49" s="3" t="s">
        <v>191</v>
      </c>
      <c r="I49" s="3" t="s">
        <v>192</v>
      </c>
      <c r="J49" s="3"/>
      <c r="K49" s="8" t="str">
        <f>IF(VLOOKUP(C49,'part c-100%'!$D$7:$E$157,1,0)=FALSE,"100%","100%")</f>
        <v>100%</v>
      </c>
      <c r="L49" t="str">
        <f>INDEX('part c-100%'!$AF$7:$AF$155,MATCH(kanban!C49,'part c-100%'!$D$7:$D$155,),)</f>
        <v>ZAHWA</v>
      </c>
    </row>
    <row r="50" spans="1:12" ht="25.5" customHeight="1">
      <c r="A50" s="3" t="s">
        <v>522</v>
      </c>
      <c r="B50" s="3" t="s">
        <v>788</v>
      </c>
      <c r="C50" s="3" t="s">
        <v>229</v>
      </c>
      <c r="D50" s="3" t="s">
        <v>230</v>
      </c>
      <c r="E50" s="3" t="s">
        <v>780</v>
      </c>
      <c r="F50" s="3" t="s">
        <v>674</v>
      </c>
      <c r="G50" s="3" t="s">
        <v>758</v>
      </c>
      <c r="H50" s="3" t="s">
        <v>191</v>
      </c>
      <c r="I50" s="3" t="s">
        <v>192</v>
      </c>
      <c r="J50" s="3"/>
      <c r="K50" s="8" t="e">
        <f>IF(VLOOKUP(C50,'part c-100%'!$D$7:$E$157,1,0)=FALSE,"100%","100%")</f>
        <v>#N/A</v>
      </c>
      <c r="L50" t="e">
        <f>INDEX('part c-100%'!$AF$7:$AF$155,MATCH(kanban!C50,'part c-100%'!$D$7:$D$155,),)</f>
        <v>#N/A</v>
      </c>
    </row>
    <row r="51" spans="1:12" ht="25.5" customHeight="1">
      <c r="A51" s="3" t="s">
        <v>508</v>
      </c>
      <c r="B51" s="3" t="s">
        <v>779</v>
      </c>
      <c r="C51" s="3" t="s">
        <v>221</v>
      </c>
      <c r="D51" s="3" t="s">
        <v>685</v>
      </c>
      <c r="E51" s="3" t="s">
        <v>780</v>
      </c>
      <c r="F51" s="3" t="s">
        <v>217</v>
      </c>
      <c r="G51" s="3" t="s">
        <v>758</v>
      </c>
      <c r="H51" s="3" t="s">
        <v>191</v>
      </c>
      <c r="I51" s="3" t="s">
        <v>192</v>
      </c>
      <c r="J51" s="3"/>
      <c r="K51" s="8" t="str">
        <f>IF(VLOOKUP(C51,'part c-100%'!$D$7:$E$157,1,0)=FALSE,"100%","100%")</f>
        <v>100%</v>
      </c>
      <c r="L51" t="str">
        <f>INDEX('part c-100%'!$AF$7:$AF$155,MATCH(kanban!C51,'part c-100%'!$D$7:$D$155,),)</f>
        <v>ZAHWA</v>
      </c>
    </row>
    <row r="52" spans="1:12" ht="25.5" customHeight="1">
      <c r="A52" s="3" t="s">
        <v>514</v>
      </c>
      <c r="B52" s="3" t="s">
        <v>785</v>
      </c>
      <c r="C52" s="3" t="s">
        <v>232</v>
      </c>
      <c r="D52" s="3" t="s">
        <v>631</v>
      </c>
      <c r="E52" s="3" t="s">
        <v>780</v>
      </c>
      <c r="F52" s="3" t="s">
        <v>217</v>
      </c>
      <c r="G52" s="3" t="s">
        <v>758</v>
      </c>
      <c r="H52" s="3" t="s">
        <v>191</v>
      </c>
      <c r="I52" s="3" t="s">
        <v>192</v>
      </c>
      <c r="J52" s="3"/>
      <c r="K52" s="8" t="str">
        <f>IF(VLOOKUP(C52,'part c-100%'!$D$7:$E$157,1,0)=FALSE,"100%","100%")</f>
        <v>100%</v>
      </c>
      <c r="L52" t="str">
        <f>INDEX('part c-100%'!$AF$7:$AF$155,MATCH(kanban!C52,'part c-100%'!$D$7:$D$155,),)</f>
        <v>ZAHWA</v>
      </c>
    </row>
    <row r="53" spans="1:12" ht="25.5" customHeight="1">
      <c r="A53" s="3" t="s">
        <v>515</v>
      </c>
      <c r="B53" s="3" t="s">
        <v>784</v>
      </c>
      <c r="C53" s="3" t="s">
        <v>219</v>
      </c>
      <c r="D53" s="3" t="s">
        <v>686</v>
      </c>
      <c r="E53" s="3" t="s">
        <v>780</v>
      </c>
      <c r="F53" s="3" t="s">
        <v>226</v>
      </c>
      <c r="G53" s="3" t="s">
        <v>758</v>
      </c>
      <c r="H53" s="3" t="s">
        <v>191</v>
      </c>
      <c r="I53" s="3" t="s">
        <v>192</v>
      </c>
      <c r="J53" s="3"/>
      <c r="K53" s="8" t="str">
        <f>IF(VLOOKUP(C53,'part c-100%'!$D$7:$E$157,1,0)=FALSE,"100%","100%")</f>
        <v>100%</v>
      </c>
      <c r="L53" t="str">
        <f>INDEX('part c-100%'!$AF$7:$AF$155,MATCH(kanban!C53,'part c-100%'!$D$7:$D$155,),)</f>
        <v>ZAHWA</v>
      </c>
    </row>
    <row r="54" spans="1:12" ht="25.5" customHeight="1">
      <c r="A54" s="3" t="s">
        <v>509</v>
      </c>
      <c r="B54" s="3" t="s">
        <v>799</v>
      </c>
      <c r="C54" s="3" t="s">
        <v>218</v>
      </c>
      <c r="D54" s="3" t="s">
        <v>684</v>
      </c>
      <c r="E54" s="3" t="s">
        <v>793</v>
      </c>
      <c r="F54" s="3" t="s">
        <v>217</v>
      </c>
      <c r="G54" s="3" t="s">
        <v>758</v>
      </c>
      <c r="H54" s="3" t="s">
        <v>191</v>
      </c>
      <c r="I54" s="3" t="s">
        <v>192</v>
      </c>
      <c r="J54" s="3"/>
      <c r="K54" s="8" t="str">
        <f>IF(VLOOKUP(C54,'part c-100%'!$D$7:$E$157,1,0)=FALSE,"100%","100%")</f>
        <v>100%</v>
      </c>
      <c r="L54" t="str">
        <f>INDEX('part c-100%'!$AF$7:$AF$155,MATCH(kanban!C54,'part c-100%'!$D$7:$D$155,),)</f>
        <v>ZAHWA</v>
      </c>
    </row>
    <row r="55" spans="1:12" ht="25.5" customHeight="1">
      <c r="A55" s="3" t="s">
        <v>523</v>
      </c>
      <c r="B55" s="3" t="s">
        <v>797</v>
      </c>
      <c r="C55" s="3" t="s">
        <v>315</v>
      </c>
      <c r="D55" s="3" t="s">
        <v>798</v>
      </c>
      <c r="E55" s="3" t="s">
        <v>793</v>
      </c>
      <c r="F55" s="3" t="s">
        <v>217</v>
      </c>
      <c r="G55" s="3" t="s">
        <v>758</v>
      </c>
      <c r="H55" s="3" t="s">
        <v>191</v>
      </c>
      <c r="I55" s="3" t="s">
        <v>192</v>
      </c>
      <c r="J55" s="3"/>
      <c r="K55" s="8" t="str">
        <f>IF(VLOOKUP(C55,'part c-100%'!$D$7:$E$157,1,0)=FALSE,"100%","100%")</f>
        <v>100%</v>
      </c>
      <c r="L55" t="str">
        <f>INDEX('part c-100%'!$AF$7:$AF$155,MATCH(kanban!C55,'part c-100%'!$D$7:$D$155,),)</f>
        <v>ZAHWA</v>
      </c>
    </row>
    <row r="56" spans="1:12" ht="25.5" customHeight="1">
      <c r="A56" s="3" t="s">
        <v>510</v>
      </c>
      <c r="B56" s="3" t="s">
        <v>795</v>
      </c>
      <c r="C56" s="3" t="s">
        <v>220</v>
      </c>
      <c r="D56" s="3" t="s">
        <v>683</v>
      </c>
      <c r="E56" s="3" t="s">
        <v>793</v>
      </c>
      <c r="F56" s="3" t="s">
        <v>217</v>
      </c>
      <c r="G56" s="3" t="s">
        <v>758</v>
      </c>
      <c r="H56" s="3" t="s">
        <v>191</v>
      </c>
      <c r="I56" s="3" t="s">
        <v>192</v>
      </c>
      <c r="J56" s="3"/>
      <c r="K56" s="8" t="str">
        <f>IF(VLOOKUP(C56,'part c-100%'!$D$7:$E$157,1,0)=FALSE,"100%","100%")</f>
        <v>100%</v>
      </c>
      <c r="L56" t="str">
        <f>INDEX('part c-100%'!$AF$7:$AF$155,MATCH(kanban!C56,'part c-100%'!$D$7:$D$155,),)</f>
        <v>ZAHWA</v>
      </c>
    </row>
    <row r="57" spans="1:12" ht="25.5" customHeight="1">
      <c r="A57" s="3" t="s">
        <v>524</v>
      </c>
      <c r="B57" s="3" t="s">
        <v>806</v>
      </c>
      <c r="C57" s="3" t="s">
        <v>238</v>
      </c>
      <c r="D57" s="3" t="s">
        <v>239</v>
      </c>
      <c r="E57" s="3" t="s">
        <v>793</v>
      </c>
      <c r="F57" s="3" t="s">
        <v>226</v>
      </c>
      <c r="G57" s="3" t="s">
        <v>758</v>
      </c>
      <c r="H57" s="3" t="s">
        <v>191</v>
      </c>
      <c r="I57" s="3" t="s">
        <v>192</v>
      </c>
      <c r="J57" s="3"/>
      <c r="K57" s="8" t="str">
        <f>IF(VLOOKUP(C57,'part c-100%'!$D$7:$E$157,1,0)=FALSE,"100%","100%")</f>
        <v>100%</v>
      </c>
      <c r="L57" t="str">
        <f>INDEX('part c-100%'!$AF$7:$AF$155,MATCH(kanban!C57,'part c-100%'!$D$7:$D$155,),)</f>
        <v>ZAHWA</v>
      </c>
    </row>
    <row r="58" spans="1:12" ht="25.5" customHeight="1">
      <c r="A58" s="3" t="s">
        <v>511</v>
      </c>
      <c r="B58" s="3" t="s">
        <v>804</v>
      </c>
      <c r="C58" s="3" t="s">
        <v>237</v>
      </c>
      <c r="D58" s="3" t="s">
        <v>805</v>
      </c>
      <c r="E58" s="3" t="s">
        <v>793</v>
      </c>
      <c r="F58" s="3" t="s">
        <v>217</v>
      </c>
      <c r="G58" s="3" t="s">
        <v>758</v>
      </c>
      <c r="H58" s="3" t="s">
        <v>191</v>
      </c>
      <c r="I58" s="3" t="s">
        <v>192</v>
      </c>
      <c r="J58" s="3"/>
      <c r="K58" s="8" t="str">
        <f>IF(VLOOKUP(C58,'part c-100%'!$D$7:$E$157,1,0)=FALSE,"100%","100%")</f>
        <v>100%</v>
      </c>
      <c r="L58" t="str">
        <f>INDEX('part c-100%'!$AF$7:$AF$155,MATCH(kanban!C58,'part c-100%'!$D$7:$D$155,),)</f>
        <v>ZAHWA</v>
      </c>
    </row>
    <row r="59" spans="1:12" ht="25.5" customHeight="1">
      <c r="A59" s="3" t="s">
        <v>525</v>
      </c>
      <c r="B59" s="3" t="s">
        <v>801</v>
      </c>
      <c r="C59" s="3" t="s">
        <v>235</v>
      </c>
      <c r="D59" s="3" t="s">
        <v>236</v>
      </c>
      <c r="E59" s="3" t="s">
        <v>793</v>
      </c>
      <c r="F59" s="3" t="s">
        <v>519</v>
      </c>
      <c r="G59" s="3" t="s">
        <v>758</v>
      </c>
      <c r="H59" s="3" t="s">
        <v>191</v>
      </c>
      <c r="I59" s="3" t="s">
        <v>192</v>
      </c>
      <c r="J59" s="3"/>
      <c r="K59" s="8" t="e">
        <f>IF(VLOOKUP(C59,'part c-100%'!$D$7:$E$157,1,0)=FALSE,"100%","100%")</f>
        <v>#N/A</v>
      </c>
      <c r="L59" t="e">
        <f>INDEX('part c-100%'!$AF$7:$AF$155,MATCH(kanban!C59,'part c-100%'!$D$7:$D$155,),)</f>
        <v>#N/A</v>
      </c>
    </row>
    <row r="60" spans="1:12" ht="25.5" customHeight="1">
      <c r="A60" s="3" t="s">
        <v>526</v>
      </c>
      <c r="B60" s="3" t="s">
        <v>796</v>
      </c>
      <c r="C60" s="3" t="s">
        <v>233</v>
      </c>
      <c r="D60" s="3" t="s">
        <v>682</v>
      </c>
      <c r="E60" s="3" t="s">
        <v>793</v>
      </c>
      <c r="F60" s="3" t="s">
        <v>217</v>
      </c>
      <c r="G60" s="3" t="s">
        <v>758</v>
      </c>
      <c r="H60" s="3" t="s">
        <v>191</v>
      </c>
      <c r="I60" s="3" t="s">
        <v>192</v>
      </c>
      <c r="J60" s="3"/>
      <c r="K60" s="8" t="str">
        <f>IF(VLOOKUP(C60,'part c-100%'!$D$7:$E$157,1,0)=FALSE,"100%","100%")</f>
        <v>100%</v>
      </c>
      <c r="L60" t="str">
        <f>INDEX('part c-100%'!$AF$7:$AF$155,MATCH(kanban!C60,'part c-100%'!$D$7:$D$155,),)</f>
        <v>ZAHWA</v>
      </c>
    </row>
    <row r="61" spans="1:12" ht="25.5" customHeight="1">
      <c r="A61" s="3" t="s">
        <v>503</v>
      </c>
      <c r="B61" s="3" t="s">
        <v>792</v>
      </c>
      <c r="C61" s="3" t="s">
        <v>240</v>
      </c>
      <c r="D61" s="3" t="s">
        <v>690</v>
      </c>
      <c r="E61" s="3" t="s">
        <v>793</v>
      </c>
      <c r="F61" s="3" t="s">
        <v>691</v>
      </c>
      <c r="G61" s="3" t="s">
        <v>758</v>
      </c>
      <c r="H61" s="3" t="s">
        <v>191</v>
      </c>
      <c r="I61" s="3" t="s">
        <v>192</v>
      </c>
      <c r="J61" s="3"/>
      <c r="K61" s="8" t="str">
        <f>IF(VLOOKUP(C61,'part c-100%'!$D$7:$E$157,1,0)=FALSE,"100%","100%")</f>
        <v>100%</v>
      </c>
      <c r="L61" t="str">
        <f>INDEX('part c-100%'!$AF$7:$AF$155,MATCH(kanban!C61,'part c-100%'!$D$7:$D$155,),)</f>
        <v>ANNA</v>
      </c>
    </row>
    <row r="62" spans="1:12" ht="25.5" customHeight="1">
      <c r="A62" s="3" t="s">
        <v>516</v>
      </c>
      <c r="B62" s="3" t="s">
        <v>794</v>
      </c>
      <c r="C62" s="3" t="s">
        <v>307</v>
      </c>
      <c r="D62" s="3" t="s">
        <v>681</v>
      </c>
      <c r="E62" s="3" t="s">
        <v>793</v>
      </c>
      <c r="F62" s="3" t="s">
        <v>217</v>
      </c>
      <c r="G62" s="3" t="s">
        <v>758</v>
      </c>
      <c r="H62" s="3" t="s">
        <v>191</v>
      </c>
      <c r="I62" s="3" t="s">
        <v>192</v>
      </c>
      <c r="J62" s="3"/>
      <c r="K62" s="8" t="str">
        <f>IF(VLOOKUP(C62,'part c-100%'!$D$7:$E$157,1,0)=FALSE,"100%","100%")</f>
        <v>100%</v>
      </c>
      <c r="L62" t="str">
        <f>INDEX('part c-100%'!$AF$7:$AF$155,MATCH(kanban!C62,'part c-100%'!$D$7:$D$155,),)</f>
        <v>ZAHWA</v>
      </c>
    </row>
    <row r="63" spans="1:12" ht="25.5" customHeight="1">
      <c r="A63" s="3" t="s">
        <v>527</v>
      </c>
      <c r="B63" s="3" t="s">
        <v>808</v>
      </c>
      <c r="C63" s="3" t="s">
        <v>228</v>
      </c>
      <c r="D63" s="3" t="s">
        <v>809</v>
      </c>
      <c r="E63" s="3" t="s">
        <v>793</v>
      </c>
      <c r="F63" s="3" t="s">
        <v>217</v>
      </c>
      <c r="G63" s="3" t="s">
        <v>758</v>
      </c>
      <c r="H63" s="3" t="s">
        <v>191</v>
      </c>
      <c r="I63" s="3" t="s">
        <v>192</v>
      </c>
      <c r="J63" s="3"/>
      <c r="K63" s="8" t="str">
        <f>IF(VLOOKUP(C63,'part c-100%'!$D$7:$E$157,1,0)=FALSE,"100%","100%")</f>
        <v>100%</v>
      </c>
      <c r="L63" t="str">
        <f>INDEX('part c-100%'!$AF$7:$AF$155,MATCH(kanban!C63,'part c-100%'!$D$7:$D$155,),)</f>
        <v>ZAHWA</v>
      </c>
    </row>
    <row r="64" spans="1:12" ht="25.5" customHeight="1">
      <c r="A64" s="3" t="s">
        <v>407</v>
      </c>
      <c r="B64" s="3" t="s">
        <v>800</v>
      </c>
      <c r="C64" s="3" t="s">
        <v>234</v>
      </c>
      <c r="D64" s="3" t="s">
        <v>604</v>
      </c>
      <c r="E64" s="3" t="s">
        <v>793</v>
      </c>
      <c r="F64" s="3" t="s">
        <v>217</v>
      </c>
      <c r="G64" s="3" t="s">
        <v>758</v>
      </c>
      <c r="H64" s="3" t="s">
        <v>191</v>
      </c>
      <c r="I64" s="3" t="s">
        <v>192</v>
      </c>
      <c r="J64" s="3"/>
      <c r="K64" s="8" t="str">
        <f>IF(VLOOKUP(C64,'part c-100%'!$D$7:$E$157,1,0)=FALSE,"100%","100%")</f>
        <v>100%</v>
      </c>
      <c r="L64" t="str">
        <f>INDEX('part c-100%'!$AF$7:$AF$155,MATCH(kanban!C64,'part c-100%'!$D$7:$D$155,),)</f>
        <v>ZAHWA</v>
      </c>
    </row>
    <row r="65" spans="1:12" s="52" customFormat="1" ht="25.5" customHeight="1">
      <c r="A65" s="3" t="s">
        <v>245</v>
      </c>
      <c r="B65" s="3" t="s">
        <v>807</v>
      </c>
      <c r="C65" s="3" t="s">
        <v>688</v>
      </c>
      <c r="D65" s="3" t="s">
        <v>689</v>
      </c>
      <c r="E65" s="3" t="s">
        <v>793</v>
      </c>
      <c r="F65" s="3" t="s">
        <v>285</v>
      </c>
      <c r="G65" s="3" t="s">
        <v>758</v>
      </c>
      <c r="H65" s="3" t="s">
        <v>191</v>
      </c>
      <c r="I65" s="3" t="s">
        <v>192</v>
      </c>
      <c r="J65" s="3"/>
      <c r="K65" s="51" t="e">
        <f>IF(VLOOKUP(C65,'part c-100%'!$D$7:$E$157,1,0)=FALSE,"100%","100%")</f>
        <v>#N/A</v>
      </c>
      <c r="L65" t="e">
        <f>INDEX('part c-100%'!$AF$7:$AF$155,MATCH(kanban!C65,'part c-100%'!$D$7:$D$155,),)</f>
        <v>#N/A</v>
      </c>
    </row>
    <row r="66" spans="1:12" ht="25.5" customHeight="1">
      <c r="A66" s="3" t="s">
        <v>277</v>
      </c>
      <c r="B66" s="3" t="s">
        <v>802</v>
      </c>
      <c r="C66" s="3" t="s">
        <v>364</v>
      </c>
      <c r="D66" s="3" t="s">
        <v>803</v>
      </c>
      <c r="E66" s="3" t="s">
        <v>793</v>
      </c>
      <c r="F66" s="3" t="s">
        <v>494</v>
      </c>
      <c r="G66" s="3" t="s">
        <v>758</v>
      </c>
      <c r="H66" s="3" t="s">
        <v>191</v>
      </c>
      <c r="I66" s="3" t="s">
        <v>192</v>
      </c>
      <c r="J66" s="3" t="s">
        <v>193</v>
      </c>
      <c r="K66" s="8" t="str">
        <f>IF(VLOOKUP(C66,'part c-100%'!$D$7:$E$157,1,0)=FALSE,"100%","100%")</f>
        <v>100%</v>
      </c>
      <c r="L66" t="str">
        <f>INDEX('part c-100%'!$AF$7:$AF$155,MATCH(kanban!C66,'part c-100%'!$D$7:$D$155,),)</f>
        <v>ANNA</v>
      </c>
    </row>
    <row r="67" spans="1:12" ht="25.5" customHeight="1">
      <c r="A67" s="3" t="s">
        <v>286</v>
      </c>
      <c r="B67" s="3" t="s">
        <v>810</v>
      </c>
      <c r="C67" s="3" t="s">
        <v>528</v>
      </c>
      <c r="D67" s="3" t="s">
        <v>529</v>
      </c>
      <c r="E67" s="3" t="s">
        <v>738</v>
      </c>
      <c r="F67" s="3" t="s">
        <v>502</v>
      </c>
      <c r="G67" s="3" t="s">
        <v>758</v>
      </c>
      <c r="H67" s="3" t="s">
        <v>241</v>
      </c>
      <c r="I67" s="3" t="s">
        <v>242</v>
      </c>
      <c r="J67" s="3"/>
      <c r="K67" s="8" t="e">
        <f>IF(VLOOKUP(C67,'part c-100%'!$D$7:$E$157,1,0)=FALSE,"100%","100%")</f>
        <v>#N/A</v>
      </c>
      <c r="L67" t="e">
        <f>INDEX('part c-100%'!$AF$7:$AF$155,MATCH(kanban!C67,'part c-100%'!$D$7:$D$155,),)</f>
        <v>#N/A</v>
      </c>
    </row>
    <row r="68" spans="1:12" ht="25.5" customHeight="1">
      <c r="A68" s="3" t="s">
        <v>288</v>
      </c>
      <c r="B68" s="3" t="s">
        <v>823</v>
      </c>
      <c r="C68" s="3" t="s">
        <v>247</v>
      </c>
      <c r="D68" s="3" t="s">
        <v>824</v>
      </c>
      <c r="E68" s="3" t="s">
        <v>814</v>
      </c>
      <c r="F68" s="3" t="s">
        <v>217</v>
      </c>
      <c r="G68" s="3" t="s">
        <v>758</v>
      </c>
      <c r="H68" s="3" t="s">
        <v>241</v>
      </c>
      <c r="I68" s="3" t="s">
        <v>242</v>
      </c>
      <c r="J68" s="3"/>
      <c r="K68" s="8" t="str">
        <f>IF(VLOOKUP(C68,'part c-100%'!$D$7:$E$157,1,0)=FALSE,"100%","100%")</f>
        <v>100%</v>
      </c>
      <c r="L68" t="str">
        <f>INDEX('part c-100%'!$AF$7:$AF$155,MATCH(kanban!C68,'part c-100%'!$D$7:$D$155,),)</f>
        <v>AMELIA</v>
      </c>
    </row>
    <row r="69" spans="1:12" ht="25.5" customHeight="1">
      <c r="A69" s="3" t="s">
        <v>289</v>
      </c>
      <c r="B69" s="3" t="s">
        <v>811</v>
      </c>
      <c r="C69" s="3" t="s">
        <v>812</v>
      </c>
      <c r="D69" s="3" t="s">
        <v>813</v>
      </c>
      <c r="E69" s="3" t="s">
        <v>814</v>
      </c>
      <c r="F69" s="3" t="s">
        <v>253</v>
      </c>
      <c r="G69" s="3" t="s">
        <v>758</v>
      </c>
      <c r="H69" s="3" t="s">
        <v>241</v>
      </c>
      <c r="I69" s="3" t="s">
        <v>458</v>
      </c>
      <c r="J69" s="3"/>
      <c r="K69" s="8" t="e">
        <f>IF(VLOOKUP(C69,'part c-100%'!$D$7:$E$157,1,0)=FALSE,"100%","100%")</f>
        <v>#N/A</v>
      </c>
      <c r="L69" t="e">
        <f>INDEX('part c-100%'!$AF$7:$AF$155,MATCH(kanban!C69,'part c-100%'!$D$7:$D$155,),)</f>
        <v>#N/A</v>
      </c>
    </row>
    <row r="70" spans="1:12" ht="25.5" customHeight="1">
      <c r="A70" s="3" t="s">
        <v>290</v>
      </c>
      <c r="B70" s="3" t="s">
        <v>820</v>
      </c>
      <c r="C70" s="3" t="s">
        <v>504</v>
      </c>
      <c r="D70" s="3" t="s">
        <v>505</v>
      </c>
      <c r="E70" s="3" t="s">
        <v>814</v>
      </c>
      <c r="F70" s="3" t="s">
        <v>281</v>
      </c>
      <c r="G70" s="3" t="s">
        <v>758</v>
      </c>
      <c r="H70" s="3" t="s">
        <v>241</v>
      </c>
      <c r="I70" s="3" t="s">
        <v>458</v>
      </c>
      <c r="J70" s="3"/>
      <c r="K70" s="8" t="e">
        <f>IF(VLOOKUP(C70,'part c-100%'!$D$7:$E$157,1,0)=FALSE,"100%","100%")</f>
        <v>#N/A</v>
      </c>
      <c r="L70" t="e">
        <f>INDEX('part c-100%'!$AF$7:$AF$155,MATCH(kanban!C70,'part c-100%'!$D$7:$D$155,),)</f>
        <v>#N/A</v>
      </c>
    </row>
    <row r="71" spans="1:12" ht="25.5" customHeight="1">
      <c r="A71" s="3" t="s">
        <v>415</v>
      </c>
      <c r="B71" s="3" t="s">
        <v>822</v>
      </c>
      <c r="C71" s="3" t="s">
        <v>506</v>
      </c>
      <c r="D71" s="3" t="s">
        <v>507</v>
      </c>
      <c r="E71" s="3" t="s">
        <v>814</v>
      </c>
      <c r="F71" s="3" t="s">
        <v>281</v>
      </c>
      <c r="G71" s="3" t="s">
        <v>758</v>
      </c>
      <c r="H71" s="3" t="s">
        <v>241</v>
      </c>
      <c r="I71" s="3" t="s">
        <v>458</v>
      </c>
      <c r="J71" s="3"/>
      <c r="K71" s="8" t="e">
        <f>IF(VLOOKUP(C71,'part c-100%'!$D$7:$E$157,1,0)=FALSE,"100%","100%")</f>
        <v>#N/A</v>
      </c>
      <c r="L71" t="e">
        <f>INDEX('part c-100%'!$AF$7:$AF$155,MATCH(kanban!C71,'part c-100%'!$D$7:$D$155,),)</f>
        <v>#N/A</v>
      </c>
    </row>
    <row r="72" spans="1:12" ht="25.5" customHeight="1">
      <c r="A72" s="3" t="s">
        <v>416</v>
      </c>
      <c r="B72" s="3" t="s">
        <v>828</v>
      </c>
      <c r="C72" s="3" t="s">
        <v>249</v>
      </c>
      <c r="D72" s="3" t="s">
        <v>337</v>
      </c>
      <c r="E72" s="3" t="s">
        <v>814</v>
      </c>
      <c r="F72" s="3" t="s">
        <v>403</v>
      </c>
      <c r="G72" s="3" t="s">
        <v>758</v>
      </c>
      <c r="H72" s="3" t="s">
        <v>241</v>
      </c>
      <c r="I72" s="3" t="s">
        <v>242</v>
      </c>
      <c r="J72" s="3"/>
      <c r="K72" s="8" t="str">
        <f>IF(VLOOKUP(C72,'part c-100%'!$D$7:$E$157,1,0)=FALSE,"100%","100%")</f>
        <v>100%</v>
      </c>
      <c r="L72" t="str">
        <f>INDEX('part c-100%'!$AF$7:$AF$155,MATCH(kanban!C72,'part c-100%'!$D$7:$D$155,),)</f>
        <v>ANNA</v>
      </c>
    </row>
    <row r="73" spans="1:12" ht="25.5" customHeight="1">
      <c r="A73" s="3" t="s">
        <v>417</v>
      </c>
      <c r="B73" s="3" t="s">
        <v>817</v>
      </c>
      <c r="C73" s="3" t="s">
        <v>320</v>
      </c>
      <c r="D73" s="3" t="s">
        <v>633</v>
      </c>
      <c r="E73" s="3" t="s">
        <v>814</v>
      </c>
      <c r="F73" s="3" t="s">
        <v>818</v>
      </c>
      <c r="G73" s="3" t="s">
        <v>758</v>
      </c>
      <c r="H73" s="3" t="s">
        <v>241</v>
      </c>
      <c r="I73" s="3" t="s">
        <v>244</v>
      </c>
      <c r="J73" s="3"/>
      <c r="K73" s="8" t="str">
        <f>IF(VLOOKUP(C73,'part c-100%'!$D$7:$E$157,1,0)=FALSE,"100%","100%")</f>
        <v>100%</v>
      </c>
      <c r="L73" t="str">
        <f>INDEX('part c-100%'!$AF$7:$AF$155,MATCH(kanban!C73,'part c-100%'!$D$7:$D$155,),)</f>
        <v>AMELIA</v>
      </c>
    </row>
    <row r="74" spans="1:12" ht="25.5" customHeight="1">
      <c r="A74" s="3" t="s">
        <v>418</v>
      </c>
      <c r="B74" s="3" t="s">
        <v>826</v>
      </c>
      <c r="C74" s="3" t="s">
        <v>345</v>
      </c>
      <c r="D74" s="3" t="s">
        <v>346</v>
      </c>
      <c r="E74" s="3" t="s">
        <v>814</v>
      </c>
      <c r="F74" s="3" t="s">
        <v>385</v>
      </c>
      <c r="G74" s="3" t="s">
        <v>758</v>
      </c>
      <c r="H74" s="3" t="s">
        <v>241</v>
      </c>
      <c r="I74" s="3" t="s">
        <v>242</v>
      </c>
      <c r="J74" s="3"/>
      <c r="K74" s="8" t="e">
        <f>IF(VLOOKUP(C74,'part c-100%'!$D$7:$E$157,1,0)=FALSE,"100%","100%")</f>
        <v>#N/A</v>
      </c>
      <c r="L74" t="e">
        <f>INDEX('part c-100%'!$AF$7:$AF$155,MATCH(kanban!C74,'part c-100%'!$D$7:$D$155,),)</f>
        <v>#N/A</v>
      </c>
    </row>
    <row r="75" spans="1:12" ht="25.5" customHeight="1">
      <c r="A75" s="3" t="s">
        <v>419</v>
      </c>
      <c r="B75" s="3" t="s">
        <v>825</v>
      </c>
      <c r="C75" s="3" t="s">
        <v>252</v>
      </c>
      <c r="D75" s="3" t="s">
        <v>336</v>
      </c>
      <c r="E75" s="3" t="s">
        <v>814</v>
      </c>
      <c r="F75" s="3" t="s">
        <v>440</v>
      </c>
      <c r="G75" s="3" t="s">
        <v>758</v>
      </c>
      <c r="H75" s="3" t="s">
        <v>241</v>
      </c>
      <c r="I75" s="3" t="s">
        <v>242</v>
      </c>
      <c r="J75" s="3"/>
      <c r="K75" s="8" t="str">
        <f>IF(VLOOKUP(C75,'part c-100%'!$D$7:$E$157,1,0)=FALSE,"100%","100%")</f>
        <v>100%</v>
      </c>
      <c r="L75" t="str">
        <f>INDEX('part c-100%'!$AF$7:$AF$155,MATCH(kanban!C75,'part c-100%'!$D$7:$D$155,),)</f>
        <v>WULAN</v>
      </c>
    </row>
    <row r="76" spans="1:12" ht="25.5" customHeight="1">
      <c r="A76" s="3" t="s">
        <v>420</v>
      </c>
      <c r="B76" s="3" t="s">
        <v>821</v>
      </c>
      <c r="C76" s="3" t="s">
        <v>248</v>
      </c>
      <c r="D76" s="3" t="s">
        <v>338</v>
      </c>
      <c r="E76" s="3" t="s">
        <v>814</v>
      </c>
      <c r="F76" s="3" t="s">
        <v>403</v>
      </c>
      <c r="G76" s="3" t="s">
        <v>758</v>
      </c>
      <c r="H76" s="3" t="s">
        <v>241</v>
      </c>
      <c r="I76" s="3" t="s">
        <v>242</v>
      </c>
      <c r="J76" s="3"/>
      <c r="K76" s="8" t="str">
        <f>IF(VLOOKUP(C76,'part c-100%'!$D$7:$E$157,1,0)=FALSE,"100%","100%")</f>
        <v>100%</v>
      </c>
      <c r="L76" t="str">
        <f>INDEX('part c-100%'!$AF$7:$AF$155,MATCH(kanban!C76,'part c-100%'!$D$7:$D$155,),)</f>
        <v>RAJA</v>
      </c>
    </row>
    <row r="77" spans="1:12" s="52" customFormat="1" ht="25.5" customHeight="1">
      <c r="A77" s="3" t="s">
        <v>309</v>
      </c>
      <c r="B77" s="3" t="s">
        <v>827</v>
      </c>
      <c r="C77" s="3" t="s">
        <v>252</v>
      </c>
      <c r="D77" s="3" t="s">
        <v>336</v>
      </c>
      <c r="E77" s="3" t="s">
        <v>814</v>
      </c>
      <c r="F77" s="3" t="s">
        <v>440</v>
      </c>
      <c r="G77" s="3" t="s">
        <v>758</v>
      </c>
      <c r="H77" s="3" t="s">
        <v>241</v>
      </c>
      <c r="I77" s="3" t="s">
        <v>242</v>
      </c>
      <c r="J77" s="3" t="s">
        <v>193</v>
      </c>
      <c r="K77" s="51" t="str">
        <f>IF(VLOOKUP(C77,'part c-100%'!$D$7:$E$157,1,0)=FALSE,"100%","100%")</f>
        <v>100%</v>
      </c>
      <c r="L77" t="str">
        <f>INDEX('part c-100%'!$AF$7:$AF$155,MATCH(kanban!C77,'part c-100%'!$D$7:$D$155,),)</f>
        <v>WULAN</v>
      </c>
    </row>
    <row r="78" spans="1:12" ht="25.5" customHeight="1">
      <c r="A78" s="3" t="s">
        <v>310</v>
      </c>
      <c r="B78" s="3" t="s">
        <v>816</v>
      </c>
      <c r="C78" s="3" t="s">
        <v>489</v>
      </c>
      <c r="D78" s="3" t="s">
        <v>490</v>
      </c>
      <c r="E78" s="3" t="s">
        <v>814</v>
      </c>
      <c r="F78" s="3" t="s">
        <v>403</v>
      </c>
      <c r="G78" s="3" t="s">
        <v>758</v>
      </c>
      <c r="H78" s="3" t="s">
        <v>241</v>
      </c>
      <c r="I78" s="3" t="s">
        <v>242</v>
      </c>
      <c r="J78" s="3"/>
      <c r="K78" s="8" t="e">
        <f>IF(VLOOKUP(C78,'part c-100%'!$D$7:$E$157,1,0)=FALSE,"100%","100%")</f>
        <v>#N/A</v>
      </c>
      <c r="L78" t="e">
        <f>INDEX('part c-100%'!$AF$7:$AF$155,MATCH(kanban!C78,'part c-100%'!$D$7:$D$155,),)</f>
        <v>#N/A</v>
      </c>
    </row>
    <row r="79" spans="1:12" ht="25.5" customHeight="1">
      <c r="A79" s="3" t="s">
        <v>311</v>
      </c>
      <c r="B79" s="3" t="s">
        <v>815</v>
      </c>
      <c r="C79" s="3" t="s">
        <v>243</v>
      </c>
      <c r="D79" s="3" t="s">
        <v>380</v>
      </c>
      <c r="E79" s="3" t="s">
        <v>814</v>
      </c>
      <c r="F79" s="3" t="s">
        <v>217</v>
      </c>
      <c r="G79" s="3" t="s">
        <v>758</v>
      </c>
      <c r="H79" s="3" t="s">
        <v>241</v>
      </c>
      <c r="I79" s="3" t="s">
        <v>244</v>
      </c>
      <c r="J79" s="3"/>
      <c r="K79" s="8" t="str">
        <f>IF(VLOOKUP(C79,'part c-100%'!$D$7:$E$157,1,0)=FALSE,"100%","100%")</f>
        <v>100%</v>
      </c>
      <c r="L79" t="str">
        <f>INDEX('part c-100%'!$AF$7:$AF$155,MATCH(kanban!C79,'part c-100%'!$D$7:$D$155,),)</f>
        <v>BAHAR</v>
      </c>
    </row>
    <row r="80" spans="1:12" ht="25.5" customHeight="1">
      <c r="A80" s="3" t="s">
        <v>312</v>
      </c>
      <c r="B80" s="3" t="s">
        <v>819</v>
      </c>
      <c r="C80" s="3" t="s">
        <v>238</v>
      </c>
      <c r="D80" s="3" t="s">
        <v>239</v>
      </c>
      <c r="E80" s="3" t="s">
        <v>814</v>
      </c>
      <c r="F80" s="3" t="s">
        <v>211</v>
      </c>
      <c r="G80" s="3" t="s">
        <v>758</v>
      </c>
      <c r="H80" s="3" t="s">
        <v>241</v>
      </c>
      <c r="I80" s="3" t="s">
        <v>242</v>
      </c>
      <c r="J80" s="3"/>
      <c r="K80" s="8" t="str">
        <f>IF(VLOOKUP(C80,'part c-100%'!$D$7:$E$157,1,0)=FALSE,"100%","100%")</f>
        <v>100%</v>
      </c>
      <c r="L80" t="str">
        <f>INDEX('part c-100%'!$AF$7:$AF$155,MATCH(kanban!C80,'part c-100%'!$D$7:$D$155,),)</f>
        <v>ZAHWA</v>
      </c>
    </row>
    <row r="81" spans="1:12" ht="25.5" customHeight="1">
      <c r="A81" s="3" t="s">
        <v>313</v>
      </c>
      <c r="B81" s="3" t="s">
        <v>837</v>
      </c>
      <c r="C81" s="3" t="s">
        <v>258</v>
      </c>
      <c r="D81" s="3" t="s">
        <v>701</v>
      </c>
      <c r="E81" s="3" t="s">
        <v>830</v>
      </c>
      <c r="F81" s="3" t="s">
        <v>217</v>
      </c>
      <c r="G81" s="3" t="s">
        <v>758</v>
      </c>
      <c r="H81" s="3" t="s">
        <v>241</v>
      </c>
      <c r="I81" s="3" t="s">
        <v>242</v>
      </c>
      <c r="J81" s="3"/>
      <c r="K81" s="8" t="str">
        <f>IF(VLOOKUP(C81,'part c-100%'!$D$7:$E$157,1,0)=FALSE,"100%","100%")</f>
        <v>100%</v>
      </c>
      <c r="L81" t="str">
        <f>INDEX('part c-100%'!$AF$7:$AF$155,MATCH(kanban!C81,'part c-100%'!$D$7:$D$155,),)</f>
        <v>WULAN</v>
      </c>
    </row>
    <row r="82" spans="1:12" ht="25.5" customHeight="1">
      <c r="A82" s="3" t="s">
        <v>314</v>
      </c>
      <c r="B82" s="3" t="s">
        <v>838</v>
      </c>
      <c r="C82" s="3" t="s">
        <v>340</v>
      </c>
      <c r="D82" s="3" t="s">
        <v>341</v>
      </c>
      <c r="E82" s="3" t="s">
        <v>830</v>
      </c>
      <c r="F82" s="3" t="s">
        <v>702</v>
      </c>
      <c r="G82" s="3" t="s">
        <v>758</v>
      </c>
      <c r="H82" s="3" t="s">
        <v>241</v>
      </c>
      <c r="I82" s="3" t="s">
        <v>242</v>
      </c>
      <c r="J82" s="3"/>
      <c r="K82" s="8" t="e">
        <f>IF(VLOOKUP(C82,'part c-100%'!$D$7:$E$157,1,0)=FALSE,"100%","100%")</f>
        <v>#N/A</v>
      </c>
      <c r="L82" t="e">
        <f>INDEX('part c-100%'!$AF$7:$AF$155,MATCH(kanban!C82,'part c-100%'!$D$7:$D$155,),)</f>
        <v>#N/A</v>
      </c>
    </row>
    <row r="83" spans="1:12" ht="25.5" customHeight="1">
      <c r="A83" s="3" t="s">
        <v>388</v>
      </c>
      <c r="B83" s="3" t="s">
        <v>835</v>
      </c>
      <c r="C83" s="3" t="s">
        <v>250</v>
      </c>
      <c r="D83" s="3" t="s">
        <v>462</v>
      </c>
      <c r="E83" s="3" t="s">
        <v>830</v>
      </c>
      <c r="F83" s="3" t="s">
        <v>226</v>
      </c>
      <c r="G83" s="3" t="s">
        <v>758</v>
      </c>
      <c r="H83" s="3" t="s">
        <v>241</v>
      </c>
      <c r="I83" s="3" t="s">
        <v>458</v>
      </c>
      <c r="J83" s="3"/>
      <c r="K83" s="8" t="str">
        <f>IF(VLOOKUP(C83,'part c-100%'!$D$7:$E$157,1,0)=FALSE,"100%","100%")</f>
        <v>100%</v>
      </c>
      <c r="L83" t="str">
        <f>INDEX('part c-100%'!$AF$7:$AF$155,MATCH(kanban!C83,'part c-100%'!$D$7:$D$155,),)</f>
        <v>ANNA</v>
      </c>
    </row>
    <row r="84" spans="1:12" ht="25.5" customHeight="1">
      <c r="A84" s="3" t="s">
        <v>389</v>
      </c>
      <c r="B84" s="3" t="s">
        <v>833</v>
      </c>
      <c r="C84" s="3" t="s">
        <v>255</v>
      </c>
      <c r="D84" s="3" t="s">
        <v>344</v>
      </c>
      <c r="E84" s="3" t="s">
        <v>830</v>
      </c>
      <c r="F84" s="3" t="s">
        <v>211</v>
      </c>
      <c r="G84" s="3" t="s">
        <v>758</v>
      </c>
      <c r="H84" s="3" t="s">
        <v>241</v>
      </c>
      <c r="I84" s="3" t="s">
        <v>458</v>
      </c>
      <c r="J84" s="3"/>
      <c r="K84" s="8" t="str">
        <f>IF(VLOOKUP(C84,'part c-100%'!$D$7:$E$157,1,0)=FALSE,"100%","100%")</f>
        <v>100%</v>
      </c>
      <c r="L84" t="str">
        <f>INDEX('part c-100%'!$AF$7:$AF$155,MATCH(kanban!C84,'part c-100%'!$D$7:$D$155,),)</f>
        <v>AMELIA</v>
      </c>
    </row>
    <row r="85" spans="1:12" ht="25.5" customHeight="1">
      <c r="A85" s="3" t="s">
        <v>386</v>
      </c>
      <c r="B85" s="3" t="s">
        <v>829</v>
      </c>
      <c r="C85" s="3" t="s">
        <v>342</v>
      </c>
      <c r="D85" s="3" t="s">
        <v>343</v>
      </c>
      <c r="E85" s="3" t="s">
        <v>830</v>
      </c>
      <c r="F85" s="3" t="s">
        <v>440</v>
      </c>
      <c r="G85" s="3" t="s">
        <v>758</v>
      </c>
      <c r="H85" s="3" t="s">
        <v>241</v>
      </c>
      <c r="I85" s="3" t="s">
        <v>242</v>
      </c>
      <c r="J85" s="3"/>
      <c r="K85" s="8" t="e">
        <f>IF(VLOOKUP(C85,'part c-100%'!$D$7:$E$157,1,0)=FALSE,"100%","100%")</f>
        <v>#N/A</v>
      </c>
      <c r="L85" t="e">
        <f>INDEX('part c-100%'!$AF$7:$AF$155,MATCH(kanban!C85,'part c-100%'!$D$7:$D$155,),)</f>
        <v>#N/A</v>
      </c>
    </row>
    <row r="86" spans="1:12" ht="25.5" customHeight="1">
      <c r="A86" s="3" t="s">
        <v>394</v>
      </c>
      <c r="B86" s="3" t="s">
        <v>831</v>
      </c>
      <c r="C86" s="3" t="s">
        <v>636</v>
      </c>
      <c r="D86" s="3" t="s">
        <v>341</v>
      </c>
      <c r="E86" s="3" t="s">
        <v>830</v>
      </c>
      <c r="F86" s="3" t="s">
        <v>832</v>
      </c>
      <c r="G86" s="3" t="s">
        <v>758</v>
      </c>
      <c r="H86" s="3" t="s">
        <v>241</v>
      </c>
      <c r="I86" s="3" t="s">
        <v>242</v>
      </c>
      <c r="J86" s="3"/>
      <c r="K86" s="8" t="e">
        <f>IF(VLOOKUP(C86,'part c-100%'!$D$7:$E$157,1,0)=FALSE,"100%","100%")</f>
        <v>#N/A</v>
      </c>
      <c r="L86" t="e">
        <f>INDEX('part c-100%'!$AF$7:$AF$155,MATCH(kanban!C86,'part c-100%'!$D$7:$D$155,),)</f>
        <v>#N/A</v>
      </c>
    </row>
    <row r="87" spans="1:12" ht="25.5" customHeight="1">
      <c r="A87" s="3" t="s">
        <v>439</v>
      </c>
      <c r="B87" s="3" t="s">
        <v>836</v>
      </c>
      <c r="C87" s="3" t="s">
        <v>251</v>
      </c>
      <c r="D87" s="3" t="s">
        <v>339</v>
      </c>
      <c r="E87" s="3" t="s">
        <v>830</v>
      </c>
      <c r="F87" s="3" t="s">
        <v>634</v>
      </c>
      <c r="G87" s="3" t="s">
        <v>758</v>
      </c>
      <c r="H87" s="3" t="s">
        <v>241</v>
      </c>
      <c r="I87" s="3" t="s">
        <v>242</v>
      </c>
      <c r="J87" s="3"/>
      <c r="K87" s="8" t="str">
        <f>IF(VLOOKUP(C87,'part c-100%'!$D$7:$E$157,1,0)=FALSE,"100%","100%")</f>
        <v>100%</v>
      </c>
      <c r="L87" t="str">
        <f>INDEX('part c-100%'!$AF$7:$AF$155,MATCH(kanban!C87,'part c-100%'!$D$7:$D$155,),)</f>
        <v>AMELIA</v>
      </c>
    </row>
    <row r="88" spans="1:12" ht="25.5" customHeight="1">
      <c r="A88" s="3" t="s">
        <v>424</v>
      </c>
      <c r="B88" s="3" t="s">
        <v>834</v>
      </c>
      <c r="C88" s="3" t="s">
        <v>342</v>
      </c>
      <c r="D88" s="3" t="s">
        <v>343</v>
      </c>
      <c r="E88" s="3" t="s">
        <v>830</v>
      </c>
      <c r="F88" s="3" t="s">
        <v>440</v>
      </c>
      <c r="G88" s="3" t="s">
        <v>758</v>
      </c>
      <c r="H88" s="3" t="s">
        <v>241</v>
      </c>
      <c r="I88" s="3" t="s">
        <v>242</v>
      </c>
      <c r="J88" s="3" t="s">
        <v>193</v>
      </c>
      <c r="K88" s="8" t="e">
        <f>IF(VLOOKUP(C88,'part c-100%'!$D$7:$E$157,1,0)=FALSE,"100%","100%")</f>
        <v>#N/A</v>
      </c>
      <c r="L88" t="e">
        <f>INDEX('part c-100%'!$AF$7:$AF$155,MATCH(kanban!C88,'part c-100%'!$D$7:$D$155,),)</f>
        <v>#N/A</v>
      </c>
    </row>
    <row r="89" spans="1:12" ht="25.5" customHeight="1">
      <c r="A89" s="3" t="s">
        <v>606</v>
      </c>
      <c r="B89" s="3" t="s">
        <v>939</v>
      </c>
      <c r="C89" s="3" t="s">
        <v>625</v>
      </c>
      <c r="D89" s="3" t="s">
        <v>626</v>
      </c>
      <c r="E89" s="3" t="s">
        <v>940</v>
      </c>
      <c r="F89" s="3" t="s">
        <v>495</v>
      </c>
      <c r="G89" s="3" t="s">
        <v>758</v>
      </c>
      <c r="H89" s="3" t="s">
        <v>241</v>
      </c>
      <c r="I89" s="3" t="s">
        <v>242</v>
      </c>
      <c r="J89" s="3" t="s">
        <v>193</v>
      </c>
      <c r="K89" s="8" t="e">
        <f>IF(VLOOKUP(C89,'part c-100%'!$D$7:$E$157,1,0)=FALSE,"100%","100%")</f>
        <v>#N/A</v>
      </c>
      <c r="L89" t="e">
        <f>INDEX('part c-100%'!$AF$7:$AF$155,MATCH(kanban!C89,'part c-100%'!$D$7:$D$155,),)</f>
        <v>#N/A</v>
      </c>
    </row>
    <row r="90" spans="1:12" ht="25.5" customHeight="1">
      <c r="A90" s="3" t="s">
        <v>466</v>
      </c>
      <c r="B90" s="3" t="s">
        <v>941</v>
      </c>
      <c r="C90" s="3" t="s">
        <v>202</v>
      </c>
      <c r="D90" s="3" t="s">
        <v>203</v>
      </c>
      <c r="E90" s="3" t="s">
        <v>938</v>
      </c>
      <c r="F90" s="3" t="s">
        <v>942</v>
      </c>
      <c r="G90" s="3" t="s">
        <v>758</v>
      </c>
      <c r="H90" s="3" t="s">
        <v>191</v>
      </c>
      <c r="I90" s="3" t="s">
        <v>192</v>
      </c>
      <c r="J90" s="3"/>
      <c r="K90" s="8" t="e">
        <f>IF(VLOOKUP(C90,'part c-100%'!$D$7:$E$157,1,0)=FALSE,"100%","100%")</f>
        <v>#N/A</v>
      </c>
      <c r="L90" t="e">
        <f>INDEX('part c-100%'!$AF$7:$AF$155,MATCH(kanban!C90,'part c-100%'!$D$7:$D$155,),)</f>
        <v>#N/A</v>
      </c>
    </row>
    <row r="91" spans="1:12" ht="25.5" customHeight="1">
      <c r="A91" s="3" t="s">
        <v>469</v>
      </c>
      <c r="B91" s="3" t="s">
        <v>943</v>
      </c>
      <c r="C91" s="3" t="s">
        <v>944</v>
      </c>
      <c r="D91" s="3" t="s">
        <v>945</v>
      </c>
      <c r="E91" s="3" t="s">
        <v>946</v>
      </c>
      <c r="F91" s="3" t="s">
        <v>634</v>
      </c>
      <c r="G91" s="3" t="s">
        <v>758</v>
      </c>
      <c r="H91" s="3" t="s">
        <v>191</v>
      </c>
      <c r="I91" s="3" t="s">
        <v>192</v>
      </c>
      <c r="J91" s="3" t="s">
        <v>193</v>
      </c>
      <c r="K91" s="8" t="e">
        <f>IF(VLOOKUP(C91,'part c-100%'!$D$7:$E$157,1,0)=FALSE,"100%","100%")</f>
        <v>#N/A</v>
      </c>
      <c r="L91" t="e">
        <f>INDEX('part c-100%'!$AF$7:$AF$155,MATCH(kanban!C91,'part c-100%'!$D$7:$D$155,),)</f>
        <v>#N/A</v>
      </c>
    </row>
    <row r="92" spans="1:12" ht="25.5" customHeight="1">
      <c r="A92" s="3" t="s">
        <v>476</v>
      </c>
      <c r="B92" s="3" t="s">
        <v>947</v>
      </c>
      <c r="C92" s="3" t="s">
        <v>721</v>
      </c>
      <c r="D92" s="3" t="s">
        <v>722</v>
      </c>
      <c r="E92" s="3" t="s">
        <v>948</v>
      </c>
      <c r="F92" s="3" t="s">
        <v>904</v>
      </c>
      <c r="G92" s="3" t="s">
        <v>758</v>
      </c>
      <c r="H92" s="3" t="s">
        <v>191</v>
      </c>
      <c r="I92" s="3" t="s">
        <v>192</v>
      </c>
      <c r="J92" s="3" t="s">
        <v>193</v>
      </c>
      <c r="K92" s="8" t="e">
        <f>IF(VLOOKUP(C92,'part c-100%'!$D$7:$E$157,1,0)=FALSE,"100%","100%")</f>
        <v>#N/A</v>
      </c>
      <c r="L92" t="e">
        <f>INDEX('part c-100%'!$AF$7:$AF$155,MATCH(kanban!C92,'part c-100%'!$D$7:$D$155,),)</f>
        <v>#N/A</v>
      </c>
    </row>
    <row r="93" spans="1:12" ht="25.5" customHeight="1">
      <c r="A93" s="3"/>
      <c r="B93" s="3"/>
      <c r="C93" s="3"/>
      <c r="D93" s="3"/>
      <c r="E93" s="3"/>
      <c r="F93" s="3"/>
      <c r="G93" s="3">
        <f>SUBTOTAL(9,G29:G92)</f>
        <v>0</v>
      </c>
      <c r="H93" s="3"/>
      <c r="I93" s="3"/>
      <c r="J93" s="3"/>
      <c r="K93" s="8" t="e">
        <f>IF(VLOOKUP(C93,'part c-100%'!$D$7:$E$157,1,0)=FALSE,"100%","100%")</f>
        <v>#N/A</v>
      </c>
      <c r="L93" t="e">
        <f>INDEX('part c-100%'!$AF$7:$AF$155,MATCH(kanban!C93,'part c-100%'!$D$7:$D$155,),)</f>
        <v>#N/A</v>
      </c>
    </row>
    <row r="94" spans="1:12" ht="25.5" customHeight="1">
      <c r="A94" s="3" t="s">
        <v>246</v>
      </c>
      <c r="B94" s="3" t="s">
        <v>846</v>
      </c>
      <c r="C94" s="3" t="s">
        <v>347</v>
      </c>
      <c r="D94" s="3" t="s">
        <v>847</v>
      </c>
      <c r="E94" s="3" t="s">
        <v>740</v>
      </c>
      <c r="F94" s="3" t="s">
        <v>217</v>
      </c>
      <c r="G94" s="3" t="s">
        <v>843</v>
      </c>
      <c r="H94" s="3" t="s">
        <v>198</v>
      </c>
      <c r="I94" s="3" t="s">
        <v>199</v>
      </c>
      <c r="J94" s="3" t="s">
        <v>193</v>
      </c>
      <c r="K94" s="8" t="str">
        <f>IF(VLOOKUP(C94,'part c-100%'!$D$7:$E$157,1,0)=FALSE,"100%","100%")</f>
        <v>100%</v>
      </c>
      <c r="L94" t="str">
        <f>INDEX('part c-100%'!$AF$7:$AF$155,MATCH(kanban!C94,'part c-100%'!$D$7:$D$155,),)</f>
        <v>AMELIA</v>
      </c>
    </row>
    <row r="95" spans="1:12" ht="25.5" customHeight="1">
      <c r="A95" s="3" t="s">
        <v>427</v>
      </c>
      <c r="B95" s="3" t="s">
        <v>844</v>
      </c>
      <c r="C95" s="3" t="s">
        <v>392</v>
      </c>
      <c r="D95" s="3" t="s">
        <v>845</v>
      </c>
      <c r="E95" s="3" t="s">
        <v>740</v>
      </c>
      <c r="F95" s="3" t="s">
        <v>727</v>
      </c>
      <c r="G95" s="3" t="s">
        <v>843</v>
      </c>
      <c r="H95" s="3" t="s">
        <v>198</v>
      </c>
      <c r="I95" s="3" t="s">
        <v>199</v>
      </c>
      <c r="J95" s="3"/>
      <c r="K95" s="8" t="str">
        <f>IF(VLOOKUP(C95,'part c-100%'!$D$7:$E$157,1,0)=FALSE,"100%","100%")</f>
        <v>100%</v>
      </c>
      <c r="L95" t="str">
        <f>INDEX('part c-100%'!$AF$7:$AF$155,MATCH(kanban!C95,'part c-100%'!$D$7:$D$155,),)</f>
        <v>ANGGIT</v>
      </c>
    </row>
    <row r="96" spans="1:12" ht="25.5" customHeight="1">
      <c r="A96" s="3" t="s">
        <v>280</v>
      </c>
      <c r="B96" s="3" t="s">
        <v>848</v>
      </c>
      <c r="C96" s="3" t="s">
        <v>267</v>
      </c>
      <c r="D96" s="3" t="s">
        <v>488</v>
      </c>
      <c r="E96" s="3" t="s">
        <v>740</v>
      </c>
      <c r="F96" s="3" t="s">
        <v>675</v>
      </c>
      <c r="G96" s="3" t="s">
        <v>843</v>
      </c>
      <c r="H96" s="3" t="s">
        <v>198</v>
      </c>
      <c r="I96" s="3" t="s">
        <v>199</v>
      </c>
      <c r="J96" s="3"/>
      <c r="K96" s="8" t="str">
        <f>IF(VLOOKUP(C96,'part c-100%'!$D$7:$E$157,1,0)=FALSE,"100%","100%")</f>
        <v>100%</v>
      </c>
      <c r="L96" t="str">
        <f>INDEX('part c-100%'!$AF$7:$AF$155,MATCH(kanban!C96,'part c-100%'!$D$7:$D$155,),)</f>
        <v>ANNA</v>
      </c>
    </row>
    <row r="97" spans="1:12" ht="25.5" customHeight="1">
      <c r="A97" s="3" t="s">
        <v>428</v>
      </c>
      <c r="B97" s="3" t="s">
        <v>705</v>
      </c>
      <c r="C97" s="3" t="s">
        <v>264</v>
      </c>
      <c r="D97" s="3" t="s">
        <v>520</v>
      </c>
      <c r="E97" s="3" t="s">
        <v>740</v>
      </c>
      <c r="F97" s="3" t="s">
        <v>748</v>
      </c>
      <c r="G97" s="3" t="s">
        <v>843</v>
      </c>
      <c r="H97" s="3" t="s">
        <v>198</v>
      </c>
      <c r="I97" s="3" t="s">
        <v>199</v>
      </c>
      <c r="J97" s="3"/>
      <c r="K97" s="8" t="str">
        <f>IF(VLOOKUP(C97,'part c-100%'!$D$7:$E$157,1,0)=FALSE,"100%","100%")</f>
        <v>100%</v>
      </c>
      <c r="L97" t="str">
        <f>INDEX('part c-100%'!$AF$7:$AF$155,MATCH(kanban!C97,'part c-100%'!$D$7:$D$155,),)</f>
        <v>ANNA</v>
      </c>
    </row>
    <row r="98" spans="1:12" ht="25.5" customHeight="1">
      <c r="A98" s="3" t="s">
        <v>282</v>
      </c>
      <c r="B98" s="3" t="s">
        <v>839</v>
      </c>
      <c r="C98" s="3" t="s">
        <v>840</v>
      </c>
      <c r="D98" s="3" t="s">
        <v>841</v>
      </c>
      <c r="E98" s="3" t="s">
        <v>740</v>
      </c>
      <c r="F98" s="3" t="s">
        <v>842</v>
      </c>
      <c r="G98" s="3" t="s">
        <v>843</v>
      </c>
      <c r="H98" s="3" t="s">
        <v>198</v>
      </c>
      <c r="I98" s="3" t="s">
        <v>199</v>
      </c>
      <c r="J98" s="3" t="s">
        <v>193</v>
      </c>
      <c r="K98" s="8" t="e">
        <f>IF(VLOOKUP(C98,'part c-100%'!$D$7:$E$157,1,0)=FALSE,"100%","100%")</f>
        <v>#N/A</v>
      </c>
      <c r="L98" t="e">
        <f>INDEX('part c-100%'!$AF$7:$AF$155,MATCH(kanban!C98,'part c-100%'!$D$7:$D$155,),)</f>
        <v>#N/A</v>
      </c>
    </row>
    <row r="99" spans="1:12" ht="25.5" customHeight="1">
      <c r="A99" s="3" t="s">
        <v>283</v>
      </c>
      <c r="B99" s="3" t="s">
        <v>849</v>
      </c>
      <c r="C99" s="3" t="s">
        <v>294</v>
      </c>
      <c r="D99" s="3" t="s">
        <v>570</v>
      </c>
      <c r="E99" s="3" t="s">
        <v>740</v>
      </c>
      <c r="F99" s="3" t="s">
        <v>630</v>
      </c>
      <c r="G99" s="3" t="s">
        <v>843</v>
      </c>
      <c r="H99" s="3" t="s">
        <v>198</v>
      </c>
      <c r="I99" s="3" t="s">
        <v>199</v>
      </c>
      <c r="J99" s="3" t="s">
        <v>193</v>
      </c>
      <c r="K99" s="8" t="str">
        <f>IF(VLOOKUP(C99,'part c-100%'!$D$7:$E$157,1,0)=FALSE,"100%","100%")</f>
        <v>100%</v>
      </c>
      <c r="L99" t="str">
        <f>INDEX('part c-100%'!$AF$7:$AF$155,MATCH(kanban!C99,'part c-100%'!$D$7:$D$155,),)</f>
        <v>BAHAR</v>
      </c>
    </row>
    <row r="100" spans="1:12" ht="25.5" customHeight="1">
      <c r="A100" s="3" t="s">
        <v>409</v>
      </c>
      <c r="B100" s="3" t="s">
        <v>850</v>
      </c>
      <c r="C100" s="3" t="s">
        <v>851</v>
      </c>
      <c r="D100" s="3" t="s">
        <v>852</v>
      </c>
      <c r="E100" s="3" t="s">
        <v>853</v>
      </c>
      <c r="F100" s="3" t="s">
        <v>217</v>
      </c>
      <c r="G100" s="3" t="s">
        <v>843</v>
      </c>
      <c r="H100" s="3" t="s">
        <v>198</v>
      </c>
      <c r="I100" s="3" t="s">
        <v>199</v>
      </c>
      <c r="J100" s="3" t="s">
        <v>193</v>
      </c>
      <c r="K100" s="8" t="e">
        <f>IF(VLOOKUP(C100,'part c-100%'!$D$7:$E$157,1,0)=FALSE,"100%","100%")</f>
        <v>#N/A</v>
      </c>
      <c r="L100" t="e">
        <f>INDEX('part c-100%'!$AF$7:$AF$155,MATCH(kanban!C100,'part c-100%'!$D$7:$D$155,),)</f>
        <v>#N/A</v>
      </c>
    </row>
    <row r="101" spans="1:12" ht="25.5" customHeight="1">
      <c r="A101" s="3" t="s">
        <v>410</v>
      </c>
      <c r="B101" s="3" t="s">
        <v>869</v>
      </c>
      <c r="C101" s="3" t="s">
        <v>568</v>
      </c>
      <c r="D101" s="3" t="s">
        <v>569</v>
      </c>
      <c r="E101" s="3" t="s">
        <v>855</v>
      </c>
      <c r="F101" s="3" t="s">
        <v>567</v>
      </c>
      <c r="G101" s="3" t="s">
        <v>843</v>
      </c>
      <c r="H101" s="3" t="s">
        <v>198</v>
      </c>
      <c r="I101" s="3" t="s">
        <v>351</v>
      </c>
      <c r="J101" s="3"/>
      <c r="K101" s="8" t="e">
        <f>IF(VLOOKUP(C101,'part c-100%'!$D$7:$E$157,1,0)=FALSE,"100%","100%")</f>
        <v>#N/A</v>
      </c>
      <c r="L101" t="e">
        <f>INDEX('part c-100%'!$AF$7:$AF$155,MATCH(kanban!C101,'part c-100%'!$D$7:$D$155,),)</f>
        <v>#N/A</v>
      </c>
    </row>
    <row r="102" spans="1:12" ht="25.5" customHeight="1">
      <c r="A102" s="3" t="s">
        <v>408</v>
      </c>
      <c r="B102" s="3" t="s">
        <v>866</v>
      </c>
      <c r="C102" s="3" t="s">
        <v>867</v>
      </c>
      <c r="D102" s="3" t="s">
        <v>868</v>
      </c>
      <c r="E102" s="3" t="s">
        <v>855</v>
      </c>
      <c r="F102" s="3" t="s">
        <v>197</v>
      </c>
      <c r="G102" s="3" t="s">
        <v>843</v>
      </c>
      <c r="H102" s="3" t="s">
        <v>198</v>
      </c>
      <c r="I102" s="3" t="s">
        <v>351</v>
      </c>
      <c r="J102" s="3"/>
      <c r="K102" s="8" t="e">
        <f>IF(VLOOKUP(C102,'part c-100%'!$D$7:$E$157,1,0)=FALSE,"100%","100%")</f>
        <v>#N/A</v>
      </c>
      <c r="L102" t="e">
        <f>INDEX('part c-100%'!$AF$7:$AF$155,MATCH(kanban!C102,'part c-100%'!$D$7:$D$155,),)</f>
        <v>#N/A</v>
      </c>
    </row>
    <row r="103" spans="1:12" ht="25.5" customHeight="1">
      <c r="A103" s="3" t="s">
        <v>411</v>
      </c>
      <c r="B103" s="3" t="s">
        <v>856</v>
      </c>
      <c r="C103" s="3" t="s">
        <v>857</v>
      </c>
      <c r="D103" s="3" t="s">
        <v>858</v>
      </c>
      <c r="E103" s="3" t="s">
        <v>855</v>
      </c>
      <c r="F103" s="3" t="s">
        <v>479</v>
      </c>
      <c r="G103" s="3" t="s">
        <v>843</v>
      </c>
      <c r="H103" s="3" t="s">
        <v>198</v>
      </c>
      <c r="I103" s="3" t="s">
        <v>480</v>
      </c>
      <c r="J103" s="3"/>
      <c r="K103" s="8" t="e">
        <f>IF(VLOOKUP(C103,'part c-100%'!$D$7:$E$157,1,0)=FALSE,"100%","100%")</f>
        <v>#N/A</v>
      </c>
      <c r="L103" t="e">
        <f>INDEX('part c-100%'!$AF$7:$AF$155,MATCH(kanban!C103,'part c-100%'!$D$7:$D$155,),)</f>
        <v>#N/A</v>
      </c>
    </row>
    <row r="104" spans="1:12" ht="25.5" customHeight="1">
      <c r="A104" s="3" t="s">
        <v>405</v>
      </c>
      <c r="B104" s="3" t="s">
        <v>861</v>
      </c>
      <c r="C104" s="3" t="s">
        <v>862</v>
      </c>
      <c r="D104" s="3" t="s">
        <v>863</v>
      </c>
      <c r="E104" s="3" t="s">
        <v>855</v>
      </c>
      <c r="F104" s="3" t="s">
        <v>197</v>
      </c>
      <c r="G104" s="3" t="s">
        <v>843</v>
      </c>
      <c r="H104" s="3" t="s">
        <v>198</v>
      </c>
      <c r="I104" s="3" t="s">
        <v>199</v>
      </c>
      <c r="J104" s="3" t="s">
        <v>193</v>
      </c>
      <c r="K104" s="8" t="e">
        <f>IF(VLOOKUP(C104,'part c-100%'!$D$7:$E$157,1,0)=FALSE,"100%","100%")</f>
        <v>#N/A</v>
      </c>
      <c r="L104" t="e">
        <f>INDEX('part c-100%'!$AF$7:$AF$155,MATCH(kanban!C104,'part c-100%'!$D$7:$D$155,),)</f>
        <v>#N/A</v>
      </c>
    </row>
    <row r="105" spans="1:12" ht="25.5" customHeight="1">
      <c r="A105" s="3" t="s">
        <v>254</v>
      </c>
      <c r="B105" s="3" t="s">
        <v>854</v>
      </c>
      <c r="C105" s="3" t="s">
        <v>648</v>
      </c>
      <c r="D105" s="3" t="s">
        <v>649</v>
      </c>
      <c r="E105" s="3" t="s">
        <v>855</v>
      </c>
      <c r="F105" s="3" t="s">
        <v>226</v>
      </c>
      <c r="G105" s="3" t="s">
        <v>843</v>
      </c>
      <c r="H105" s="3" t="s">
        <v>198</v>
      </c>
      <c r="I105" s="3" t="s">
        <v>199</v>
      </c>
      <c r="J105" s="3"/>
      <c r="K105" s="8" t="e">
        <f>IF(VLOOKUP(C105,'part c-100%'!$D$7:$E$157,1,0)=FALSE,"100%","100%")</f>
        <v>#N/A</v>
      </c>
      <c r="L105" t="e">
        <f>INDEX('part c-100%'!$AF$7:$AF$155,MATCH(kanban!C105,'part c-100%'!$D$7:$D$155,),)</f>
        <v>#N/A</v>
      </c>
    </row>
    <row r="106" spans="1:12" ht="25.5" customHeight="1">
      <c r="A106" s="3" t="s">
        <v>434</v>
      </c>
      <c r="B106" s="3" t="s">
        <v>865</v>
      </c>
      <c r="C106" s="3" t="s">
        <v>255</v>
      </c>
      <c r="D106" s="3" t="s">
        <v>344</v>
      </c>
      <c r="E106" s="3" t="s">
        <v>855</v>
      </c>
      <c r="F106" s="3" t="s">
        <v>226</v>
      </c>
      <c r="G106" s="3" t="s">
        <v>843</v>
      </c>
      <c r="H106" s="3" t="s">
        <v>198</v>
      </c>
      <c r="I106" s="3" t="s">
        <v>199</v>
      </c>
      <c r="J106" s="3"/>
      <c r="K106" s="8" t="str">
        <f>IF(VLOOKUP(C106,'part c-100%'!$D$7:$E$157,1,0)=FALSE,"100%","100%")</f>
        <v>100%</v>
      </c>
      <c r="L106" t="str">
        <f>INDEX('part c-100%'!$AF$7:$AF$155,MATCH(kanban!C106,'part c-100%'!$D$7:$D$155,),)</f>
        <v>AMELIA</v>
      </c>
    </row>
    <row r="107" spans="1:12" ht="25.5" customHeight="1">
      <c r="A107" s="3" t="s">
        <v>429</v>
      </c>
      <c r="B107" s="3" t="s">
        <v>707</v>
      </c>
      <c r="C107" s="3" t="s">
        <v>708</v>
      </c>
      <c r="D107" s="3" t="s">
        <v>709</v>
      </c>
      <c r="E107" s="3" t="s">
        <v>855</v>
      </c>
      <c r="F107" s="3" t="s">
        <v>479</v>
      </c>
      <c r="G107" s="3" t="s">
        <v>843</v>
      </c>
      <c r="H107" s="3" t="s">
        <v>198</v>
      </c>
      <c r="I107" s="3" t="s">
        <v>480</v>
      </c>
      <c r="J107" s="3" t="s">
        <v>193</v>
      </c>
      <c r="K107" s="8" t="e">
        <f>IF(VLOOKUP(C107,'part c-100%'!$D$7:$E$157,1,0)=FALSE,"100%","100%")</f>
        <v>#N/A</v>
      </c>
      <c r="L107" t="e">
        <f>INDEX('part c-100%'!$AF$7:$AF$155,MATCH(kanban!C107,'part c-100%'!$D$7:$D$155,),)</f>
        <v>#N/A</v>
      </c>
    </row>
    <row r="108" spans="1:12" ht="25.5" customHeight="1">
      <c r="A108" s="3" t="s">
        <v>435</v>
      </c>
      <c r="B108" s="3" t="s">
        <v>859</v>
      </c>
      <c r="C108" s="3" t="s">
        <v>251</v>
      </c>
      <c r="D108" s="3" t="s">
        <v>339</v>
      </c>
      <c r="E108" s="3" t="s">
        <v>855</v>
      </c>
      <c r="F108" s="3" t="s">
        <v>226</v>
      </c>
      <c r="G108" s="3" t="s">
        <v>843</v>
      </c>
      <c r="H108" s="3" t="s">
        <v>198</v>
      </c>
      <c r="I108" s="3" t="s">
        <v>199</v>
      </c>
      <c r="J108" s="3"/>
      <c r="K108" s="8" t="str">
        <f>IF(VLOOKUP(C108,'part c-100%'!$D$7:$E$157,1,0)=FALSE,"100%","100%")</f>
        <v>100%</v>
      </c>
      <c r="L108" t="str">
        <f>INDEX('part c-100%'!$AF$7:$AF$155,MATCH(kanban!C108,'part c-100%'!$D$7:$D$155,),)</f>
        <v>AMELIA</v>
      </c>
    </row>
    <row r="109" spans="1:12" ht="25.5" customHeight="1">
      <c r="A109" s="3" t="s">
        <v>436</v>
      </c>
      <c r="B109" s="3" t="s">
        <v>864</v>
      </c>
      <c r="C109" s="3" t="s">
        <v>650</v>
      </c>
      <c r="D109" s="3" t="s">
        <v>651</v>
      </c>
      <c r="E109" s="3" t="s">
        <v>855</v>
      </c>
      <c r="F109" s="3" t="s">
        <v>652</v>
      </c>
      <c r="G109" s="3" t="s">
        <v>843</v>
      </c>
      <c r="H109" s="3" t="s">
        <v>198</v>
      </c>
      <c r="I109" s="3" t="s">
        <v>199</v>
      </c>
      <c r="J109" s="3"/>
      <c r="K109" s="8" t="e">
        <f>IF(VLOOKUP(C109,'part c-100%'!$D$7:$E$157,1,0)=FALSE,"100%","100%")</f>
        <v>#N/A</v>
      </c>
      <c r="L109" t="e">
        <f>INDEX('part c-100%'!$AF$7:$AF$155,MATCH(kanban!C109,'part c-100%'!$D$7:$D$155,),)</f>
        <v>#N/A</v>
      </c>
    </row>
    <row r="110" spans="1:12" ht="25.5" customHeight="1">
      <c r="A110" s="3" t="s">
        <v>430</v>
      </c>
      <c r="B110" s="3" t="s">
        <v>860</v>
      </c>
      <c r="C110" s="3" t="s">
        <v>491</v>
      </c>
      <c r="D110" s="3" t="s">
        <v>492</v>
      </c>
      <c r="E110" s="3" t="s">
        <v>855</v>
      </c>
      <c r="F110" s="3" t="s">
        <v>479</v>
      </c>
      <c r="G110" s="3" t="s">
        <v>843</v>
      </c>
      <c r="H110" s="3" t="s">
        <v>198</v>
      </c>
      <c r="I110" s="3" t="s">
        <v>199</v>
      </c>
      <c r="J110" s="3" t="s">
        <v>193</v>
      </c>
      <c r="K110" s="8" t="e">
        <f>IF(VLOOKUP(C110,'part c-100%'!$D$7:$E$157,1,0)=FALSE,"100%","100%")</f>
        <v>#N/A</v>
      </c>
      <c r="L110" t="e">
        <f>INDEX('part c-100%'!$AF$7:$AF$155,MATCH(kanban!C110,'part c-100%'!$D$7:$D$155,),)</f>
        <v>#N/A</v>
      </c>
    </row>
    <row r="111" spans="1:12" ht="25.5" customHeight="1">
      <c r="A111" s="3" t="s">
        <v>426</v>
      </c>
      <c r="B111" s="3" t="s">
        <v>714</v>
      </c>
      <c r="C111" s="3" t="s">
        <v>715</v>
      </c>
      <c r="D111" s="3" t="s">
        <v>716</v>
      </c>
      <c r="E111" s="3" t="s">
        <v>870</v>
      </c>
      <c r="F111" s="3" t="s">
        <v>406</v>
      </c>
      <c r="G111" s="3" t="s">
        <v>843</v>
      </c>
      <c r="H111" s="3" t="s">
        <v>198</v>
      </c>
      <c r="I111" s="3" t="s">
        <v>480</v>
      </c>
      <c r="J111" s="3" t="s">
        <v>193</v>
      </c>
      <c r="K111" s="8" t="e">
        <f>IF(VLOOKUP(C111,'part c-100%'!$D$7:$E$157,1,0)=FALSE,"100%","100%")</f>
        <v>#N/A</v>
      </c>
      <c r="L111" t="e">
        <f>INDEX('part c-100%'!$AF$7:$AF$155,MATCH(kanban!C111,'part c-100%'!$D$7:$D$155,),)</f>
        <v>#N/A</v>
      </c>
    </row>
    <row r="112" spans="1:12" ht="25.5" customHeight="1">
      <c r="A112" s="3" t="s">
        <v>431</v>
      </c>
      <c r="B112" s="3" t="s">
        <v>875</v>
      </c>
      <c r="C112" s="3" t="s">
        <v>621</v>
      </c>
      <c r="D112" s="3" t="s">
        <v>622</v>
      </c>
      <c r="E112" s="3" t="s">
        <v>870</v>
      </c>
      <c r="F112" s="3" t="s">
        <v>479</v>
      </c>
      <c r="G112" s="3" t="s">
        <v>843</v>
      </c>
      <c r="H112" s="3" t="s">
        <v>198</v>
      </c>
      <c r="I112" s="3" t="s">
        <v>480</v>
      </c>
      <c r="J112" s="3"/>
      <c r="K112" s="8" t="e">
        <f>IF(VLOOKUP(C112,'part c-100%'!$D$7:$E$157,1,0)=FALSE,"100%","100%")</f>
        <v>#N/A</v>
      </c>
      <c r="L112" t="e">
        <f>INDEX('part c-100%'!$AF$7:$AF$155,MATCH(kanban!C112,'part c-100%'!$D$7:$D$155,),)</f>
        <v>#N/A</v>
      </c>
    </row>
    <row r="113" spans="1:12" ht="25.5" customHeight="1">
      <c r="A113" s="3" t="s">
        <v>432</v>
      </c>
      <c r="B113" s="3" t="s">
        <v>876</v>
      </c>
      <c r="C113" s="3" t="s">
        <v>872</v>
      </c>
      <c r="D113" s="3" t="s">
        <v>873</v>
      </c>
      <c r="E113" s="3" t="s">
        <v>870</v>
      </c>
      <c r="F113" s="3" t="s">
        <v>877</v>
      </c>
      <c r="G113" s="3" t="s">
        <v>843</v>
      </c>
      <c r="H113" s="3" t="s">
        <v>198</v>
      </c>
      <c r="I113" s="3" t="s">
        <v>199</v>
      </c>
      <c r="J113" s="3"/>
      <c r="K113" s="8" t="e">
        <f>IF(VLOOKUP(C113,'part c-100%'!$D$7:$E$157,1,0)=FALSE,"100%","100%")</f>
        <v>#N/A</v>
      </c>
      <c r="L113" t="e">
        <f>INDEX('part c-100%'!$AF$7:$AF$155,MATCH(kanban!C113,'part c-100%'!$D$7:$D$155,),)</f>
        <v>#N/A</v>
      </c>
    </row>
    <row r="114" spans="1:12" ht="25.5" customHeight="1">
      <c r="A114" s="3" t="s">
        <v>433</v>
      </c>
      <c r="B114" s="3" t="s">
        <v>878</v>
      </c>
      <c r="C114" s="3" t="s">
        <v>879</v>
      </c>
      <c r="D114" s="3" t="s">
        <v>880</v>
      </c>
      <c r="E114" s="3" t="s">
        <v>870</v>
      </c>
      <c r="F114" s="3" t="s">
        <v>479</v>
      </c>
      <c r="G114" s="3" t="s">
        <v>843</v>
      </c>
      <c r="H114" s="3" t="s">
        <v>198</v>
      </c>
      <c r="I114" s="3" t="s">
        <v>480</v>
      </c>
      <c r="J114" s="3" t="s">
        <v>193</v>
      </c>
      <c r="K114" s="8" t="e">
        <f>IF(VLOOKUP(C114,'part c-100%'!$D$7:$E$157,1,0)=FALSE,"100%","100%")</f>
        <v>#N/A</v>
      </c>
      <c r="L114" t="e">
        <f>INDEX('part c-100%'!$AF$7:$AF$155,MATCH(kanban!C114,'part c-100%'!$D$7:$D$155,),)</f>
        <v>#N/A</v>
      </c>
    </row>
    <row r="115" spans="1:12" ht="25.5" customHeight="1">
      <c r="A115" s="3" t="s">
        <v>256</v>
      </c>
      <c r="B115" s="3" t="s">
        <v>881</v>
      </c>
      <c r="C115" s="3" t="s">
        <v>491</v>
      </c>
      <c r="D115" s="3" t="s">
        <v>492</v>
      </c>
      <c r="E115" s="3" t="s">
        <v>870</v>
      </c>
      <c r="F115" s="3" t="s">
        <v>406</v>
      </c>
      <c r="G115" s="3" t="s">
        <v>843</v>
      </c>
      <c r="H115" s="3" t="s">
        <v>198</v>
      </c>
      <c r="I115" s="3" t="s">
        <v>199</v>
      </c>
      <c r="J115" s="3"/>
      <c r="K115" s="8" t="e">
        <f>IF(VLOOKUP(C115,'part c-100%'!$D$7:$E$157,1,0)=FALSE,"100%","100%")</f>
        <v>#N/A</v>
      </c>
      <c r="L115" t="e">
        <f>INDEX('part c-100%'!$AF$7:$AF$155,MATCH(kanban!C115,'part c-100%'!$D$7:$D$155,),)</f>
        <v>#N/A</v>
      </c>
    </row>
    <row r="116" spans="1:12" ht="25.5" customHeight="1">
      <c r="A116" s="3" t="s">
        <v>257</v>
      </c>
      <c r="B116" s="3" t="s">
        <v>874</v>
      </c>
      <c r="C116" s="3" t="s">
        <v>711</v>
      </c>
      <c r="D116" s="3" t="s">
        <v>712</v>
      </c>
      <c r="E116" s="3" t="s">
        <v>870</v>
      </c>
      <c r="F116" s="3" t="s">
        <v>479</v>
      </c>
      <c r="G116" s="3" t="s">
        <v>843</v>
      </c>
      <c r="H116" s="3" t="s">
        <v>198</v>
      </c>
      <c r="I116" s="3" t="s">
        <v>480</v>
      </c>
      <c r="J116" s="3"/>
      <c r="K116" s="8" t="e">
        <f>IF(VLOOKUP(C116,'part c-100%'!$D$7:$E$157,1,0)=FALSE,"100%","100%")</f>
        <v>#N/A</v>
      </c>
      <c r="L116" t="e">
        <f>INDEX('part c-100%'!$AF$7:$AF$155,MATCH(kanban!C116,'part c-100%'!$D$7:$D$155,),)</f>
        <v>#N/A</v>
      </c>
    </row>
    <row r="117" spans="1:12" ht="25.5" customHeight="1">
      <c r="A117" s="3" t="s">
        <v>437</v>
      </c>
      <c r="B117" s="3" t="s">
        <v>871</v>
      </c>
      <c r="C117" s="3" t="s">
        <v>872</v>
      </c>
      <c r="D117" s="3" t="s">
        <v>873</v>
      </c>
      <c r="E117" s="3" t="s">
        <v>870</v>
      </c>
      <c r="F117" s="3" t="s">
        <v>214</v>
      </c>
      <c r="G117" s="3" t="s">
        <v>843</v>
      </c>
      <c r="H117" s="3" t="s">
        <v>198</v>
      </c>
      <c r="I117" s="3" t="s">
        <v>199</v>
      </c>
      <c r="J117" s="3" t="s">
        <v>193</v>
      </c>
      <c r="K117" s="8" t="e">
        <f>IF(VLOOKUP(C117,'part c-100%'!$D$7:$E$157,1,0)=FALSE,"100%","100%")</f>
        <v>#N/A</v>
      </c>
      <c r="L117" t="e">
        <f>INDEX('part c-100%'!$AF$7:$AF$155,MATCH(kanban!C117,'part c-100%'!$D$7:$D$155,),)</f>
        <v>#N/A</v>
      </c>
    </row>
    <row r="118" spans="1:12" ht="25.5" customHeight="1">
      <c r="A118" s="3" t="s">
        <v>438</v>
      </c>
      <c r="B118" s="3" t="s">
        <v>654</v>
      </c>
      <c r="C118" s="3" t="s">
        <v>655</v>
      </c>
      <c r="D118" s="3" t="s">
        <v>656</v>
      </c>
      <c r="E118" s="3" t="s">
        <v>870</v>
      </c>
      <c r="F118" s="3" t="s">
        <v>214</v>
      </c>
      <c r="G118" s="3" t="s">
        <v>843</v>
      </c>
      <c r="H118" s="3" t="s">
        <v>198</v>
      </c>
      <c r="I118" s="3" t="s">
        <v>480</v>
      </c>
      <c r="J118" s="3" t="s">
        <v>193</v>
      </c>
      <c r="K118" s="8" t="e">
        <f>IF(VLOOKUP(C118,'part c-100%'!$D$7:$E$157,1,0)=FALSE,"100%","100%")</f>
        <v>#N/A</v>
      </c>
      <c r="L118" t="e">
        <f>INDEX('part c-100%'!$AF$7:$AF$155,MATCH(kanban!C118,'part c-100%'!$D$7:$D$155,),)</f>
        <v>#N/A</v>
      </c>
    </row>
    <row r="119" spans="1:12" ht="25.5" customHeight="1">
      <c r="A119" s="3" t="s">
        <v>263</v>
      </c>
      <c r="B119" s="3" t="s">
        <v>713</v>
      </c>
      <c r="C119" s="3" t="s">
        <v>711</v>
      </c>
      <c r="D119" s="3" t="s">
        <v>712</v>
      </c>
      <c r="E119" s="3" t="s">
        <v>870</v>
      </c>
      <c r="F119" s="3" t="s">
        <v>479</v>
      </c>
      <c r="G119" s="3" t="s">
        <v>843</v>
      </c>
      <c r="H119" s="3" t="s">
        <v>198</v>
      </c>
      <c r="I119" s="3" t="s">
        <v>480</v>
      </c>
      <c r="J119" s="3" t="s">
        <v>193</v>
      </c>
      <c r="K119" s="8" t="e">
        <f>IF(VLOOKUP(C119,'part c-100%'!$D$7:$E$157,1,0)=FALSE,"100%","100%")</f>
        <v>#N/A</v>
      </c>
      <c r="L119" t="e">
        <f>INDEX('part c-100%'!$AF$7:$AF$155,MATCH(kanban!C119,'part c-100%'!$D$7:$D$155,),)</f>
        <v>#N/A</v>
      </c>
    </row>
    <row r="120" spans="1:12" ht="25.5" customHeight="1">
      <c r="A120" s="3" t="s">
        <v>635</v>
      </c>
      <c r="B120" s="3" t="s">
        <v>949</v>
      </c>
      <c r="C120" s="3" t="s">
        <v>375</v>
      </c>
      <c r="D120" s="3" t="s">
        <v>665</v>
      </c>
      <c r="E120" s="3" t="s">
        <v>950</v>
      </c>
      <c r="F120" s="3" t="s">
        <v>197</v>
      </c>
      <c r="G120" s="3" t="s">
        <v>843</v>
      </c>
      <c r="H120" s="3" t="s">
        <v>198</v>
      </c>
      <c r="I120" s="3" t="s">
        <v>199</v>
      </c>
      <c r="J120" s="3"/>
      <c r="K120" s="8" t="str">
        <f>IF(VLOOKUP(C120,'part c-100%'!$D$7:$E$157,1,0)=FALSE,"100%","100%")</f>
        <v>100%</v>
      </c>
      <c r="L120" t="str">
        <f>INDEX('part c-100%'!$AF$7:$AF$155,MATCH(kanban!C120,'part c-100%'!$D$7:$D$155,),)</f>
        <v>BAGAS</v>
      </c>
    </row>
    <row r="121" spans="1:12" ht="25.5" customHeight="1">
      <c r="A121" s="3" t="s">
        <v>638</v>
      </c>
      <c r="B121" s="3" t="s">
        <v>951</v>
      </c>
      <c r="C121" s="3" t="s">
        <v>293</v>
      </c>
      <c r="D121" s="3" t="s">
        <v>594</v>
      </c>
      <c r="E121" s="3" t="s">
        <v>950</v>
      </c>
      <c r="F121" s="3" t="s">
        <v>952</v>
      </c>
      <c r="G121" s="3" t="s">
        <v>843</v>
      </c>
      <c r="H121" s="3" t="s">
        <v>198</v>
      </c>
      <c r="I121" s="3" t="s">
        <v>199</v>
      </c>
      <c r="J121" s="3"/>
      <c r="K121" s="8" t="str">
        <f>IF(VLOOKUP(C121,'part c-100%'!$D$7:$E$157,1,0)=FALSE,"100%","100%")</f>
        <v>100%</v>
      </c>
      <c r="L121" t="str">
        <f>INDEX('part c-100%'!$AF$7:$AF$155,MATCH(kanban!C121,'part c-100%'!$D$7:$D$155,),)</f>
        <v>FIKRI</v>
      </c>
    </row>
    <row r="122" spans="1:12" ht="25.5" customHeight="1">
      <c r="A122" s="3" t="s">
        <v>693</v>
      </c>
      <c r="B122" s="3" t="s">
        <v>953</v>
      </c>
      <c r="C122" s="3" t="s">
        <v>359</v>
      </c>
      <c r="D122" s="3" t="s">
        <v>954</v>
      </c>
      <c r="E122" s="3" t="s">
        <v>955</v>
      </c>
      <c r="F122" s="3" t="s">
        <v>197</v>
      </c>
      <c r="G122" s="3" t="s">
        <v>843</v>
      </c>
      <c r="H122" s="3" t="s">
        <v>198</v>
      </c>
      <c r="I122" s="3" t="s">
        <v>199</v>
      </c>
      <c r="J122" s="3" t="s">
        <v>193</v>
      </c>
      <c r="K122" s="8" t="str">
        <f>IF(VLOOKUP(C122,'part c-100%'!$D$7:$E$157,1,0)=FALSE,"100%","100%")</f>
        <v>100%</v>
      </c>
      <c r="L122" t="str">
        <f>INDEX('part c-100%'!$AF$7:$AF$155,MATCH(kanban!C122,'part c-100%'!$D$7:$D$155,),)</f>
        <v>ANGGIT</v>
      </c>
    </row>
    <row r="123" spans="1:12" ht="25.5" customHeight="1">
      <c r="A123" s="3" t="s">
        <v>695</v>
      </c>
      <c r="B123" s="3" t="s">
        <v>956</v>
      </c>
      <c r="C123" s="3" t="s">
        <v>957</v>
      </c>
      <c r="D123" s="3" t="s">
        <v>958</v>
      </c>
      <c r="E123" s="3" t="s">
        <v>955</v>
      </c>
      <c r="F123" s="3" t="s">
        <v>403</v>
      </c>
      <c r="G123" s="3" t="s">
        <v>843</v>
      </c>
      <c r="H123" s="3" t="s">
        <v>198</v>
      </c>
      <c r="I123" s="3" t="s">
        <v>199</v>
      </c>
      <c r="J123" s="3" t="s">
        <v>193</v>
      </c>
      <c r="K123" s="8" t="e">
        <f>IF(VLOOKUP(C123,'part c-100%'!$D$7:$E$157,1,0)=FALSE,"100%","100%")</f>
        <v>#N/A</v>
      </c>
      <c r="L123" t="e">
        <f>INDEX('part c-100%'!$AF$7:$AF$155,MATCH(kanban!C123,'part c-100%'!$D$7:$D$155,),)</f>
        <v>#N/A</v>
      </c>
    </row>
    <row r="124" spans="1:12" ht="25.5" customHeight="1">
      <c r="A124" s="3"/>
      <c r="B124" s="3"/>
      <c r="C124" s="3"/>
      <c r="D124" s="3"/>
      <c r="E124" s="3"/>
      <c r="F124" s="3"/>
      <c r="G124" s="3">
        <f>SUBTOTAL(9,G94:G123)</f>
        <v>0</v>
      </c>
      <c r="H124" s="3"/>
      <c r="I124" s="3"/>
      <c r="J124" s="3"/>
      <c r="K124" s="8" t="e">
        <f>IF(VLOOKUP(C124,'part c-100%'!$D$7:$E$157,1,0)=FALSE,"100%","100%")</f>
        <v>#N/A</v>
      </c>
      <c r="L124" t="e">
        <f>INDEX('part c-100%'!$AF$7:$AF$155,MATCH(kanban!C124,'part c-100%'!$D$7:$D$155,),)</f>
        <v>#N/A</v>
      </c>
    </row>
    <row r="125" spans="1:12" ht="25.5" customHeight="1">
      <c r="A125" s="3" t="s">
        <v>532</v>
      </c>
      <c r="B125" s="3" t="s">
        <v>882</v>
      </c>
      <c r="C125" s="3" t="s">
        <v>200</v>
      </c>
      <c r="D125" s="3" t="s">
        <v>201</v>
      </c>
      <c r="E125" s="3" t="s">
        <v>736</v>
      </c>
      <c r="F125" s="3" t="s">
        <v>883</v>
      </c>
      <c r="G125" s="3" t="s">
        <v>884</v>
      </c>
      <c r="H125" s="3" t="s">
        <v>191</v>
      </c>
      <c r="I125" s="3" t="s">
        <v>192</v>
      </c>
      <c r="J125" s="3"/>
      <c r="K125" s="8" t="e">
        <f>IF(VLOOKUP(C125,'part c-100%'!$D$7:$E$157,1,0)=FALSE,"100%","100%")</f>
        <v>#N/A</v>
      </c>
      <c r="L125" t="e">
        <f>INDEX('part c-100%'!$AF$7:$AF$155,MATCH(kanban!C125,'part c-100%'!$D$7:$D$155,),)</f>
        <v>#N/A</v>
      </c>
    </row>
    <row r="126" spans="1:12" ht="25.5" customHeight="1">
      <c r="A126" s="3" t="s">
        <v>601</v>
      </c>
      <c r="B126" s="3" t="s">
        <v>676</v>
      </c>
      <c r="C126" s="3" t="s">
        <v>202</v>
      </c>
      <c r="D126" s="3" t="s">
        <v>203</v>
      </c>
      <c r="E126" s="3" t="s">
        <v>736</v>
      </c>
      <c r="F126" s="3" t="s">
        <v>717</v>
      </c>
      <c r="G126" s="3" t="s">
        <v>884</v>
      </c>
      <c r="H126" s="3" t="s">
        <v>191</v>
      </c>
      <c r="I126" s="3" t="s">
        <v>192</v>
      </c>
      <c r="J126" s="3"/>
      <c r="K126" s="8" t="e">
        <f>IF(VLOOKUP(C126,'part c-100%'!$D$7:$E$157,1,0)=FALSE,"100%","100%")</f>
        <v>#N/A</v>
      </c>
      <c r="L126" t="e">
        <f>INDEX('part c-100%'!$AF$7:$AF$155,MATCH(kanban!C126,'part c-100%'!$D$7:$D$155,),)</f>
        <v>#N/A</v>
      </c>
    </row>
    <row r="127" spans="1:12" ht="25.5" customHeight="1">
      <c r="A127" s="3" t="s">
        <v>535</v>
      </c>
      <c r="B127" s="3" t="s">
        <v>885</v>
      </c>
      <c r="C127" s="3" t="s">
        <v>204</v>
      </c>
      <c r="D127" s="3" t="s">
        <v>203</v>
      </c>
      <c r="E127" s="3" t="s">
        <v>736</v>
      </c>
      <c r="F127" s="3" t="s">
        <v>886</v>
      </c>
      <c r="G127" s="3" t="s">
        <v>884</v>
      </c>
      <c r="H127" s="3" t="s">
        <v>191</v>
      </c>
      <c r="I127" s="3" t="s">
        <v>192</v>
      </c>
      <c r="J127" s="3"/>
      <c r="K127" s="8" t="str">
        <f>IF(VLOOKUP(C127,'part c-100%'!$D$7:$E$157,1,0)=FALSE,"100%","100%")</f>
        <v>100%</v>
      </c>
      <c r="L127" t="str">
        <f>INDEX('part c-100%'!$AF$7:$AF$155,MATCH(kanban!C127,'part c-100%'!$D$7:$D$155,),)</f>
        <v>WULAN</v>
      </c>
    </row>
    <row r="128" spans="1:12" ht="25.5" customHeight="1">
      <c r="A128" s="3" t="s">
        <v>537</v>
      </c>
      <c r="B128" s="3" t="s">
        <v>890</v>
      </c>
      <c r="C128" s="3" t="s">
        <v>483</v>
      </c>
      <c r="D128" s="3" t="s">
        <v>484</v>
      </c>
      <c r="E128" s="3" t="s">
        <v>749</v>
      </c>
      <c r="F128" s="3" t="s">
        <v>891</v>
      </c>
      <c r="G128" s="3" t="s">
        <v>884</v>
      </c>
      <c r="H128" s="3" t="s">
        <v>191</v>
      </c>
      <c r="I128" s="3" t="s">
        <v>192</v>
      </c>
      <c r="J128" s="3"/>
      <c r="K128" s="8" t="e">
        <f>IF(VLOOKUP(C128,'part c-100%'!$D$7:$E$157,1,0)=FALSE,"100%","100%")</f>
        <v>#N/A</v>
      </c>
      <c r="L128" t="e">
        <f>INDEX('part c-100%'!$AF$7:$AF$155,MATCH(kanban!C128,'part c-100%'!$D$7:$D$155,),)</f>
        <v>#N/A</v>
      </c>
    </row>
    <row r="129" spans="1:12" ht="25.5" customHeight="1">
      <c r="A129" s="3" t="s">
        <v>547</v>
      </c>
      <c r="B129" s="3" t="s">
        <v>889</v>
      </c>
      <c r="C129" s="3" t="s">
        <v>209</v>
      </c>
      <c r="D129" s="3" t="s">
        <v>210</v>
      </c>
      <c r="E129" s="3" t="s">
        <v>749</v>
      </c>
      <c r="F129" s="3" t="s">
        <v>211</v>
      </c>
      <c r="G129" s="3" t="s">
        <v>884</v>
      </c>
      <c r="H129" s="3" t="s">
        <v>191</v>
      </c>
      <c r="I129" s="3" t="s">
        <v>192</v>
      </c>
      <c r="J129" s="3"/>
      <c r="K129" s="8" t="str">
        <f>IF(VLOOKUP(C129,'part c-100%'!$D$7:$E$157,1,0)=FALSE,"100%","100%")</f>
        <v>100%</v>
      </c>
      <c r="L129" t="str">
        <f>INDEX('part c-100%'!$AF$7:$AF$155,MATCH(kanban!C129,'part c-100%'!$D$7:$D$155,),)</f>
        <v>WULAN</v>
      </c>
    </row>
    <row r="130" spans="1:12" ht="25.5" customHeight="1">
      <c r="A130" s="3" t="s">
        <v>549</v>
      </c>
      <c r="B130" s="3" t="s">
        <v>888</v>
      </c>
      <c r="C130" s="3" t="s">
        <v>213</v>
      </c>
      <c r="D130" s="3" t="s">
        <v>657</v>
      </c>
      <c r="E130" s="3" t="s">
        <v>749</v>
      </c>
      <c r="F130" s="3" t="s">
        <v>214</v>
      </c>
      <c r="G130" s="3" t="s">
        <v>884</v>
      </c>
      <c r="H130" s="3" t="s">
        <v>191</v>
      </c>
      <c r="I130" s="3" t="s">
        <v>192</v>
      </c>
      <c r="J130" s="3"/>
      <c r="K130" s="8" t="str">
        <f>IF(VLOOKUP(C130,'part c-100%'!$D$7:$E$157,1,0)=FALSE,"100%","100%")</f>
        <v>100%</v>
      </c>
      <c r="L130" t="str">
        <f>INDEX('part c-100%'!$AF$7:$AF$155,MATCH(kanban!C130,'part c-100%'!$D$7:$D$155,),)</f>
        <v>WULAN</v>
      </c>
    </row>
    <row r="131" spans="1:12" ht="25.5" customHeight="1">
      <c r="A131" s="3" t="s">
        <v>550</v>
      </c>
      <c r="B131" s="3" t="s">
        <v>887</v>
      </c>
      <c r="C131" s="3" t="s">
        <v>207</v>
      </c>
      <c r="D131" s="3" t="s">
        <v>329</v>
      </c>
      <c r="E131" s="3" t="s">
        <v>749</v>
      </c>
      <c r="F131" s="3" t="s">
        <v>211</v>
      </c>
      <c r="G131" s="3" t="s">
        <v>884</v>
      </c>
      <c r="H131" s="3" t="s">
        <v>191</v>
      </c>
      <c r="I131" s="3" t="s">
        <v>208</v>
      </c>
      <c r="J131" s="3"/>
      <c r="K131" s="8" t="str">
        <f>IF(VLOOKUP(C131,'part c-100%'!$D$7:$E$157,1,0)=FALSE,"100%","100%")</f>
        <v>100%</v>
      </c>
      <c r="L131" t="str">
        <f>INDEX('part c-100%'!$AF$7:$AF$155,MATCH(kanban!C131,'part c-100%'!$D$7:$D$155,),)</f>
        <v>FINASI</v>
      </c>
    </row>
    <row r="132" spans="1:12" ht="25.5" customHeight="1">
      <c r="A132" s="3" t="s">
        <v>578</v>
      </c>
      <c r="B132" s="3" t="s">
        <v>892</v>
      </c>
      <c r="C132" s="3" t="s">
        <v>763</v>
      </c>
      <c r="D132" s="3" t="s">
        <v>764</v>
      </c>
      <c r="E132" s="3" t="s">
        <v>749</v>
      </c>
      <c r="F132" s="3" t="s">
        <v>406</v>
      </c>
      <c r="G132" s="3" t="s">
        <v>884</v>
      </c>
      <c r="H132" s="3" t="s">
        <v>191</v>
      </c>
      <c r="I132" s="3" t="s">
        <v>192</v>
      </c>
      <c r="J132" s="3"/>
      <c r="K132" s="8" t="e">
        <f>IF(VLOOKUP(C132,'part c-100%'!$D$7:$E$157,1,0)=FALSE,"100%","100%")</f>
        <v>#N/A</v>
      </c>
      <c r="L132" t="e">
        <f>INDEX('part c-100%'!$AF$7:$AF$155,MATCH(kanban!C132,'part c-100%'!$D$7:$D$155,),)</f>
        <v>#N/A</v>
      </c>
    </row>
    <row r="133" spans="1:12" ht="25.5" customHeight="1">
      <c r="A133" s="3" t="s">
        <v>553</v>
      </c>
      <c r="B133" s="3" t="s">
        <v>894</v>
      </c>
      <c r="C133" s="3" t="s">
        <v>610</v>
      </c>
      <c r="D133" s="3" t="s">
        <v>611</v>
      </c>
      <c r="E133" s="3" t="s">
        <v>737</v>
      </c>
      <c r="F133" s="3" t="s">
        <v>895</v>
      </c>
      <c r="G133" s="3" t="s">
        <v>884</v>
      </c>
      <c r="H133" s="3" t="s">
        <v>191</v>
      </c>
      <c r="I133" s="3" t="s">
        <v>192</v>
      </c>
      <c r="J133" s="3"/>
      <c r="K133" s="8" t="e">
        <f>IF(VLOOKUP(C133,'part c-100%'!$D$7:$E$157,1,0)=FALSE,"100%","100%")</f>
        <v>#N/A</v>
      </c>
      <c r="L133" t="e">
        <f>INDEX('part c-100%'!$AF$7:$AF$155,MATCH(kanban!C133,'part c-100%'!$D$7:$D$155,),)</f>
        <v>#N/A</v>
      </c>
    </row>
    <row r="134" spans="1:12" ht="25.5" customHeight="1">
      <c r="A134" s="3" t="s">
        <v>556</v>
      </c>
      <c r="B134" s="3" t="s">
        <v>893</v>
      </c>
      <c r="C134" s="3" t="s">
        <v>330</v>
      </c>
      <c r="D134" s="3" t="s">
        <v>331</v>
      </c>
      <c r="E134" s="3" t="s">
        <v>737</v>
      </c>
      <c r="F134" s="3" t="s">
        <v>512</v>
      </c>
      <c r="G134" s="3" t="s">
        <v>884</v>
      </c>
      <c r="H134" s="3" t="s">
        <v>191</v>
      </c>
      <c r="I134" s="3" t="s">
        <v>332</v>
      </c>
      <c r="J134" s="3"/>
      <c r="K134" s="8" t="e">
        <f>IF(VLOOKUP(C134,'part c-100%'!$D$7:$E$157,1,0)=FALSE,"100%","100%")</f>
        <v>#N/A</v>
      </c>
      <c r="L134" t="e">
        <f>INDEX('part c-100%'!$AF$7:$AF$155,MATCH(kanban!C134,'part c-100%'!$D$7:$D$155,),)</f>
        <v>#N/A</v>
      </c>
    </row>
    <row r="135" spans="1:12" ht="25.5" customHeight="1">
      <c r="A135" s="3" t="s">
        <v>541</v>
      </c>
      <c r="B135" s="3" t="s">
        <v>897</v>
      </c>
      <c r="C135" s="3" t="s">
        <v>485</v>
      </c>
      <c r="D135" s="3" t="s">
        <v>486</v>
      </c>
      <c r="E135" s="3" t="s">
        <v>737</v>
      </c>
      <c r="F135" s="3" t="s">
        <v>692</v>
      </c>
      <c r="G135" s="3" t="s">
        <v>884</v>
      </c>
      <c r="H135" s="3" t="s">
        <v>191</v>
      </c>
      <c r="I135" s="3" t="s">
        <v>192</v>
      </c>
      <c r="J135" s="3"/>
      <c r="K135" s="8" t="e">
        <f>IF(VLOOKUP(C135,'part c-100%'!$D$7:$E$157,1,0)=FALSE,"100%","100%")</f>
        <v>#N/A</v>
      </c>
      <c r="L135" t="e">
        <f>INDEX('part c-100%'!$AF$7:$AF$155,MATCH(kanban!C135,'part c-100%'!$D$7:$D$155,),)</f>
        <v>#N/A</v>
      </c>
    </row>
    <row r="136" spans="1:12" ht="25.5" customHeight="1">
      <c r="A136" s="3" t="s">
        <v>584</v>
      </c>
      <c r="B136" s="3" t="s">
        <v>896</v>
      </c>
      <c r="C136" s="3" t="s">
        <v>205</v>
      </c>
      <c r="D136" s="3" t="s">
        <v>206</v>
      </c>
      <c r="E136" s="3" t="s">
        <v>737</v>
      </c>
      <c r="F136" s="3" t="s">
        <v>652</v>
      </c>
      <c r="G136" s="3" t="s">
        <v>884</v>
      </c>
      <c r="H136" s="3" t="s">
        <v>191</v>
      </c>
      <c r="I136" s="3" t="s">
        <v>192</v>
      </c>
      <c r="J136" s="3"/>
      <c r="K136" s="8" t="e">
        <f>IF(VLOOKUP(C136,'part c-100%'!$D$7:$E$157,1,0)=FALSE,"100%","100%")</f>
        <v>#N/A</v>
      </c>
      <c r="L136" t="e">
        <f>INDEX('part c-100%'!$AF$7:$AF$155,MATCH(kanban!C136,'part c-100%'!$D$7:$D$155,),)</f>
        <v>#N/A</v>
      </c>
    </row>
    <row r="137" spans="1:12" ht="25.5" customHeight="1">
      <c r="A137" s="3" t="s">
        <v>585</v>
      </c>
      <c r="B137" s="3" t="s">
        <v>906</v>
      </c>
      <c r="C137" s="3" t="s">
        <v>607</v>
      </c>
      <c r="D137" s="3" t="s">
        <v>608</v>
      </c>
      <c r="E137" s="3" t="s">
        <v>778</v>
      </c>
      <c r="F137" s="3" t="s">
        <v>907</v>
      </c>
      <c r="G137" s="3" t="s">
        <v>884</v>
      </c>
      <c r="H137" s="3" t="s">
        <v>191</v>
      </c>
      <c r="I137" s="3" t="s">
        <v>609</v>
      </c>
      <c r="J137" s="3"/>
      <c r="K137" s="8" t="e">
        <f>IF(VLOOKUP(C137,'part c-100%'!$D$7:$E$157,1,0)=FALSE,"100%","100%")</f>
        <v>#N/A</v>
      </c>
      <c r="L137" t="e">
        <f>INDEX('part c-100%'!$AF$7:$AF$155,MATCH(kanban!C137,'part c-100%'!$D$7:$D$155,),)</f>
        <v>#N/A</v>
      </c>
    </row>
    <row r="138" spans="1:12" ht="25.5" customHeight="1">
      <c r="A138" s="3" t="s">
        <v>542</v>
      </c>
      <c r="B138" s="3" t="s">
        <v>900</v>
      </c>
      <c r="C138" s="3" t="s">
        <v>592</v>
      </c>
      <c r="D138" s="3" t="s">
        <v>593</v>
      </c>
      <c r="E138" s="3" t="s">
        <v>778</v>
      </c>
      <c r="F138" s="3" t="s">
        <v>590</v>
      </c>
      <c r="G138" s="3" t="s">
        <v>884</v>
      </c>
      <c r="H138" s="3" t="s">
        <v>191</v>
      </c>
      <c r="I138" s="3" t="s">
        <v>192</v>
      </c>
      <c r="J138" s="3"/>
      <c r="K138" s="8" t="e">
        <f>IF(VLOOKUP(C138,'part c-100%'!$D$7:$E$157,1,0)=FALSE,"100%","100%")</f>
        <v>#N/A</v>
      </c>
      <c r="L138" t="e">
        <f>INDEX('part c-100%'!$AF$7:$AF$155,MATCH(kanban!C138,'part c-100%'!$D$7:$D$155,),)</f>
        <v>#N/A</v>
      </c>
    </row>
    <row r="139" spans="1:12" ht="25.5" customHeight="1">
      <c r="A139" s="3" t="s">
        <v>559</v>
      </c>
      <c r="B139" s="3" t="s">
        <v>901</v>
      </c>
      <c r="C139" s="3" t="s">
        <v>335</v>
      </c>
      <c r="D139" s="3" t="s">
        <v>728</v>
      </c>
      <c r="E139" s="3" t="s">
        <v>778</v>
      </c>
      <c r="F139" s="3" t="s">
        <v>197</v>
      </c>
      <c r="G139" s="3" t="s">
        <v>884</v>
      </c>
      <c r="H139" s="3" t="s">
        <v>191</v>
      </c>
      <c r="I139" s="3" t="s">
        <v>192</v>
      </c>
      <c r="J139" s="3"/>
      <c r="K139" s="8" t="str">
        <f>IF(VLOOKUP(C139,'part c-100%'!$D$7:$E$157,1,0)=FALSE,"100%","100%")</f>
        <v>100%</v>
      </c>
      <c r="L139" t="str">
        <f>INDEX('part c-100%'!$AF$7:$AF$155,MATCH(kanban!C139,'part c-100%'!$D$7:$D$155,),)</f>
        <v>FIKRI</v>
      </c>
    </row>
    <row r="140" spans="1:12" ht="25.5" customHeight="1">
      <c r="A140" s="3" t="s">
        <v>543</v>
      </c>
      <c r="B140" s="3" t="s">
        <v>903</v>
      </c>
      <c r="C140" s="3" t="s">
        <v>721</v>
      </c>
      <c r="D140" s="3" t="s">
        <v>722</v>
      </c>
      <c r="E140" s="3" t="s">
        <v>778</v>
      </c>
      <c r="F140" s="3" t="s">
        <v>904</v>
      </c>
      <c r="G140" s="3" t="s">
        <v>884</v>
      </c>
      <c r="H140" s="3" t="s">
        <v>191</v>
      </c>
      <c r="I140" s="3" t="s">
        <v>192</v>
      </c>
      <c r="J140" s="3"/>
      <c r="K140" s="8" t="e">
        <f>IF(VLOOKUP(C140,'part c-100%'!$D$7:$E$157,1,0)=FALSE,"100%","100%")</f>
        <v>#N/A</v>
      </c>
      <c r="L140" t="e">
        <f>INDEX('part c-100%'!$AF$7:$AF$155,MATCH(kanban!C140,'part c-100%'!$D$7:$D$155,),)</f>
        <v>#N/A</v>
      </c>
    </row>
    <row r="141" spans="1:12" ht="25.5" customHeight="1">
      <c r="A141" s="3" t="s">
        <v>586</v>
      </c>
      <c r="B141" s="3" t="s">
        <v>905</v>
      </c>
      <c r="C141" s="3" t="s">
        <v>270</v>
      </c>
      <c r="D141" s="3" t="s">
        <v>271</v>
      </c>
      <c r="E141" s="3" t="s">
        <v>778</v>
      </c>
      <c r="F141" s="3" t="s">
        <v>217</v>
      </c>
      <c r="G141" s="3" t="s">
        <v>884</v>
      </c>
      <c r="H141" s="3" t="s">
        <v>191</v>
      </c>
      <c r="I141" s="3" t="s">
        <v>192</v>
      </c>
      <c r="J141" s="3"/>
      <c r="K141" s="8" t="e">
        <f>IF(VLOOKUP(C141,'part c-100%'!$D$7:$E$157,1,0)=FALSE,"100%","100%")</f>
        <v>#N/A</v>
      </c>
      <c r="L141" t="e">
        <f>INDEX('part c-100%'!$AF$7:$AF$155,MATCH(kanban!C141,'part c-100%'!$D$7:$D$155,),)</f>
        <v>#N/A</v>
      </c>
    </row>
    <row r="142" spans="1:12" ht="25.5" customHeight="1">
      <c r="A142" s="3" t="s">
        <v>598</v>
      </c>
      <c r="B142" s="3" t="s">
        <v>902</v>
      </c>
      <c r="C142" s="3" t="s">
        <v>292</v>
      </c>
      <c r="D142" s="3" t="s">
        <v>401</v>
      </c>
      <c r="E142" s="3" t="s">
        <v>778</v>
      </c>
      <c r="F142" s="3" t="s">
        <v>402</v>
      </c>
      <c r="G142" s="3" t="s">
        <v>884</v>
      </c>
      <c r="H142" s="3" t="s">
        <v>191</v>
      </c>
      <c r="I142" s="3" t="s">
        <v>192</v>
      </c>
      <c r="J142" s="3"/>
      <c r="K142" s="8" t="str">
        <f>IF(VLOOKUP(C142,'part c-100%'!$D$7:$E$157,1,0)=FALSE,"100%","100%")</f>
        <v>100%</v>
      </c>
      <c r="L142" t="str">
        <f>INDEX('part c-100%'!$AF$7:$AF$155,MATCH(kanban!C142,'part c-100%'!$D$7:$D$155,),)</f>
        <v>FINASI</v>
      </c>
    </row>
    <row r="143" spans="1:12" ht="25.5" customHeight="1">
      <c r="A143" s="3" t="s">
        <v>587</v>
      </c>
      <c r="B143" s="3" t="s">
        <v>899</v>
      </c>
      <c r="C143" s="3" t="s">
        <v>719</v>
      </c>
      <c r="D143" s="3" t="s">
        <v>720</v>
      </c>
      <c r="E143" s="3" t="s">
        <v>778</v>
      </c>
      <c r="F143" s="3" t="s">
        <v>217</v>
      </c>
      <c r="G143" s="3" t="s">
        <v>884</v>
      </c>
      <c r="H143" s="3" t="s">
        <v>191</v>
      </c>
      <c r="I143" s="3" t="s">
        <v>192</v>
      </c>
      <c r="J143" s="3"/>
      <c r="K143" s="8" t="e">
        <f>IF(VLOOKUP(C143,'part c-100%'!$D$7:$E$157,1,0)=FALSE,"100%","100%")</f>
        <v>#N/A</v>
      </c>
      <c r="L143" t="e">
        <f>INDEX('part c-100%'!$AF$7:$AF$155,MATCH(kanban!C143,'part c-100%'!$D$7:$D$155,),)</f>
        <v>#N/A</v>
      </c>
    </row>
    <row r="144" spans="1:12" ht="25.5" customHeight="1">
      <c r="A144" s="3" t="s">
        <v>560</v>
      </c>
      <c r="B144" s="3" t="s">
        <v>908</v>
      </c>
      <c r="C144" s="3" t="s">
        <v>909</v>
      </c>
      <c r="D144" s="3" t="s">
        <v>873</v>
      </c>
      <c r="E144" s="3" t="s">
        <v>778</v>
      </c>
      <c r="F144" s="3" t="s">
        <v>666</v>
      </c>
      <c r="G144" s="3" t="s">
        <v>884</v>
      </c>
      <c r="H144" s="3" t="s">
        <v>191</v>
      </c>
      <c r="I144" s="3" t="s">
        <v>208</v>
      </c>
      <c r="J144" s="3"/>
      <c r="K144" s="8" t="e">
        <f>IF(VLOOKUP(C144,'part c-100%'!$D$7:$E$157,1,0)=FALSE,"100%","100%")</f>
        <v>#N/A</v>
      </c>
      <c r="L144" t="e">
        <f>INDEX('part c-100%'!$AF$7:$AF$155,MATCH(kanban!C144,'part c-100%'!$D$7:$D$155,),)</f>
        <v>#N/A</v>
      </c>
    </row>
    <row r="145" spans="1:12" ht="25.5" customHeight="1">
      <c r="A145" s="3" t="s">
        <v>588</v>
      </c>
      <c r="B145" s="3" t="s">
        <v>898</v>
      </c>
      <c r="C145" s="3" t="s">
        <v>724</v>
      </c>
      <c r="D145" s="3" t="s">
        <v>725</v>
      </c>
      <c r="E145" s="3" t="s">
        <v>778</v>
      </c>
      <c r="F145" s="3" t="s">
        <v>253</v>
      </c>
      <c r="G145" s="3" t="s">
        <v>884</v>
      </c>
      <c r="H145" s="3" t="s">
        <v>191</v>
      </c>
      <c r="I145" s="3" t="s">
        <v>192</v>
      </c>
      <c r="J145" s="3"/>
      <c r="K145" s="8" t="e">
        <f>IF(VLOOKUP(C145,'part c-100%'!$D$7:$E$157,1,0)=FALSE,"100%","100%")</f>
        <v>#N/A</v>
      </c>
      <c r="L145" t="e">
        <f>INDEX('part c-100%'!$AF$7:$AF$155,MATCH(kanban!C145,'part c-100%'!$D$7:$D$155,),)</f>
        <v>#N/A</v>
      </c>
    </row>
    <row r="146" spans="1:12" ht="25.5" customHeight="1">
      <c r="A146" s="3" t="s">
        <v>564</v>
      </c>
      <c r="B146" s="3" t="s">
        <v>911</v>
      </c>
      <c r="C146" s="3" t="s">
        <v>517</v>
      </c>
      <c r="D146" s="3" t="s">
        <v>518</v>
      </c>
      <c r="E146" s="3" t="s">
        <v>780</v>
      </c>
      <c r="F146" s="3" t="s">
        <v>281</v>
      </c>
      <c r="G146" s="3" t="s">
        <v>884</v>
      </c>
      <c r="H146" s="3" t="s">
        <v>191</v>
      </c>
      <c r="I146" s="3" t="s">
        <v>192</v>
      </c>
      <c r="J146" s="3"/>
      <c r="K146" s="8" t="e">
        <f>IF(VLOOKUP(C146,'part c-100%'!$D$7:$E$157,1,0)=FALSE,"100%","100%")</f>
        <v>#N/A</v>
      </c>
      <c r="L146" t="e">
        <f>INDEX('part c-100%'!$AF$7:$AF$155,MATCH(kanban!C146,'part c-100%'!$D$7:$D$155,),)</f>
        <v>#N/A</v>
      </c>
    </row>
    <row r="147" spans="1:12" ht="25.5" customHeight="1">
      <c r="A147" s="3" t="s">
        <v>493</v>
      </c>
      <c r="B147" s="3" t="s">
        <v>910</v>
      </c>
      <c r="C147" s="3" t="s">
        <v>658</v>
      </c>
      <c r="D147" s="3" t="s">
        <v>659</v>
      </c>
      <c r="E147" s="3" t="s">
        <v>780</v>
      </c>
      <c r="F147" s="3" t="s">
        <v>731</v>
      </c>
      <c r="G147" s="3" t="s">
        <v>884</v>
      </c>
      <c r="H147" s="3" t="s">
        <v>191</v>
      </c>
      <c r="I147" s="3" t="s">
        <v>192</v>
      </c>
      <c r="J147" s="3"/>
      <c r="K147" s="8" t="e">
        <f>IF(VLOOKUP(C147,'part c-100%'!$D$7:$E$157,1,0)=FALSE,"100%","100%")</f>
        <v>#N/A</v>
      </c>
      <c r="L147" t="e">
        <f>INDEX('part c-100%'!$AF$7:$AF$155,MATCH(kanban!C147,'part c-100%'!$D$7:$D$155,),)</f>
        <v>#N/A</v>
      </c>
    </row>
    <row r="148" spans="1:12" ht="25.5" customHeight="1">
      <c r="A148" s="3" t="s">
        <v>423</v>
      </c>
      <c r="B148" s="3" t="s">
        <v>919</v>
      </c>
      <c r="C148" s="3" t="s">
        <v>528</v>
      </c>
      <c r="D148" s="3" t="s">
        <v>529</v>
      </c>
      <c r="E148" s="3" t="s">
        <v>738</v>
      </c>
      <c r="F148" s="3" t="s">
        <v>731</v>
      </c>
      <c r="G148" s="3" t="s">
        <v>884</v>
      </c>
      <c r="H148" s="3" t="s">
        <v>241</v>
      </c>
      <c r="I148" s="3" t="s">
        <v>242</v>
      </c>
      <c r="J148" s="3"/>
      <c r="K148" s="8" t="e">
        <f>IF(VLOOKUP(C148,'part c-100%'!$D$7:$E$157,1,0)=FALSE,"100%","100%")</f>
        <v>#N/A</v>
      </c>
      <c r="L148" t="e">
        <f>INDEX('part c-100%'!$AF$7:$AF$155,MATCH(kanban!C148,'part c-100%'!$D$7:$D$155,),)</f>
        <v>#N/A</v>
      </c>
    </row>
    <row r="149" spans="1:12" ht="25.5" customHeight="1">
      <c r="A149" s="3" t="s">
        <v>266</v>
      </c>
      <c r="B149" s="3" t="s">
        <v>918</v>
      </c>
      <c r="C149" s="3" t="s">
        <v>660</v>
      </c>
      <c r="D149" s="3" t="s">
        <v>661</v>
      </c>
      <c r="E149" s="3" t="s">
        <v>738</v>
      </c>
      <c r="F149" s="3" t="s">
        <v>731</v>
      </c>
      <c r="G149" s="3" t="s">
        <v>884</v>
      </c>
      <c r="H149" s="3" t="s">
        <v>241</v>
      </c>
      <c r="I149" s="3" t="s">
        <v>242</v>
      </c>
      <c r="J149" s="3"/>
      <c r="K149" s="8" t="e">
        <f>IF(VLOOKUP(C149,'part c-100%'!$D$7:$E$157,1,0)=FALSE,"100%","100%")</f>
        <v>#N/A</v>
      </c>
      <c r="L149" t="e">
        <f>INDEX('part c-100%'!$AF$7:$AF$155,MATCH(kanban!C149,'part c-100%'!$D$7:$D$155,),)</f>
        <v>#N/A</v>
      </c>
    </row>
    <row r="150" spans="1:12" ht="25.5" customHeight="1">
      <c r="A150" s="3" t="s">
        <v>212</v>
      </c>
      <c r="B150" s="3" t="s">
        <v>912</v>
      </c>
      <c r="C150" s="3" t="s">
        <v>663</v>
      </c>
      <c r="D150" s="3" t="s">
        <v>664</v>
      </c>
      <c r="E150" s="3" t="s">
        <v>738</v>
      </c>
      <c r="F150" s="3" t="s">
        <v>617</v>
      </c>
      <c r="G150" s="3" t="s">
        <v>884</v>
      </c>
      <c r="H150" s="3" t="s">
        <v>241</v>
      </c>
      <c r="I150" s="3" t="s">
        <v>242</v>
      </c>
      <c r="J150" s="3"/>
      <c r="K150" s="8" t="e">
        <f>IF(VLOOKUP(C150,'part c-100%'!$D$7:$E$157,1,0)=FALSE,"100%","100%")</f>
        <v>#N/A</v>
      </c>
      <c r="L150" t="e">
        <f>INDEX('part c-100%'!$AF$7:$AF$155,MATCH(kanban!C150,'part c-100%'!$D$7:$D$155,),)</f>
        <v>#N/A</v>
      </c>
    </row>
    <row r="151" spans="1:12" ht="25.5" customHeight="1">
      <c r="A151" s="3" t="s">
        <v>194</v>
      </c>
      <c r="B151" s="3" t="s">
        <v>913</v>
      </c>
      <c r="C151" s="3" t="s">
        <v>284</v>
      </c>
      <c r="D151" s="3" t="s">
        <v>612</v>
      </c>
      <c r="E151" s="3" t="s">
        <v>738</v>
      </c>
      <c r="F151" s="3" t="s">
        <v>285</v>
      </c>
      <c r="G151" s="3" t="s">
        <v>884</v>
      </c>
      <c r="H151" s="3" t="s">
        <v>241</v>
      </c>
      <c r="I151" s="3" t="s">
        <v>242</v>
      </c>
      <c r="J151" s="3"/>
      <c r="K151" s="8" t="str">
        <f>IF(VLOOKUP(C151,'part c-100%'!$D$7:$E$157,1,0)=FALSE,"100%","100%")</f>
        <v>100%</v>
      </c>
      <c r="L151" t="str">
        <f>INDEX('part c-100%'!$AF$7:$AF$155,MATCH(kanban!C151,'part c-100%'!$D$7:$D$155,),)</f>
        <v>BAHAR</v>
      </c>
    </row>
    <row r="152" spans="1:12" ht="25.5" customHeight="1">
      <c r="A152" s="3" t="s">
        <v>259</v>
      </c>
      <c r="B152" s="3" t="s">
        <v>914</v>
      </c>
      <c r="C152" s="3" t="s">
        <v>627</v>
      </c>
      <c r="D152" s="3" t="s">
        <v>628</v>
      </c>
      <c r="E152" s="3" t="s">
        <v>738</v>
      </c>
      <c r="F152" s="3" t="s">
        <v>614</v>
      </c>
      <c r="G152" s="3" t="s">
        <v>884</v>
      </c>
      <c r="H152" s="3" t="s">
        <v>241</v>
      </c>
      <c r="I152" s="3" t="s">
        <v>242</v>
      </c>
      <c r="J152" s="3"/>
      <c r="K152" s="8" t="e">
        <f>IF(VLOOKUP(C152,'part c-100%'!$D$7:$E$157,1,0)=FALSE,"100%","100%")</f>
        <v>#N/A</v>
      </c>
      <c r="L152" t="e">
        <f>INDEX('part c-100%'!$AF$7:$AF$155,MATCH(kanban!C152,'part c-100%'!$D$7:$D$155,),)</f>
        <v>#N/A</v>
      </c>
    </row>
    <row r="153" spans="1:12" ht="25.5" customHeight="1">
      <c r="A153" s="3" t="s">
        <v>412</v>
      </c>
      <c r="B153" s="3" t="s">
        <v>915</v>
      </c>
      <c r="C153" s="3" t="s">
        <v>916</v>
      </c>
      <c r="D153" s="3" t="s">
        <v>917</v>
      </c>
      <c r="E153" s="3" t="s">
        <v>738</v>
      </c>
      <c r="F153" s="3" t="s">
        <v>211</v>
      </c>
      <c r="G153" s="3" t="s">
        <v>884</v>
      </c>
      <c r="H153" s="3" t="s">
        <v>241</v>
      </c>
      <c r="I153" s="3" t="s">
        <v>242</v>
      </c>
      <c r="J153" s="3"/>
      <c r="K153" s="8" t="e">
        <f>IF(VLOOKUP(C153,'part c-100%'!$D$7:$E$157,1,0)=FALSE,"100%","100%")</f>
        <v>#N/A</v>
      </c>
      <c r="L153" t="e">
        <f>INDEX('part c-100%'!$AF$7:$AF$155,MATCH(kanban!C153,'part c-100%'!$D$7:$D$155,),)</f>
        <v>#N/A</v>
      </c>
    </row>
    <row r="154" spans="1:12" ht="25.5" customHeight="1">
      <c r="A154" s="3" t="s">
        <v>413</v>
      </c>
      <c r="B154" s="3" t="s">
        <v>920</v>
      </c>
      <c r="C154" s="3" t="s">
        <v>278</v>
      </c>
      <c r="D154" s="3" t="s">
        <v>279</v>
      </c>
      <c r="E154" s="3" t="s">
        <v>738</v>
      </c>
      <c r="F154" s="3" t="s">
        <v>662</v>
      </c>
      <c r="G154" s="3" t="s">
        <v>884</v>
      </c>
      <c r="H154" s="3" t="s">
        <v>241</v>
      </c>
      <c r="I154" s="3" t="s">
        <v>242</v>
      </c>
      <c r="J154" s="3"/>
      <c r="K154" s="8" t="str">
        <f>IF(VLOOKUP(C154,'part c-100%'!$D$7:$E$157,1,0)=FALSE,"100%","100%")</f>
        <v>100%</v>
      </c>
      <c r="L154" t="str">
        <f>INDEX('part c-100%'!$AF$7:$AF$155,MATCH(kanban!C154,'part c-100%'!$D$7:$D$155,),)</f>
        <v>WULAN</v>
      </c>
    </row>
    <row r="155" spans="1:12" ht="25.5" customHeight="1">
      <c r="A155" s="3" t="s">
        <v>287</v>
      </c>
      <c r="B155" s="3" t="s">
        <v>921</v>
      </c>
      <c r="C155" s="3" t="s">
        <v>275</v>
      </c>
      <c r="D155" s="3" t="s">
        <v>276</v>
      </c>
      <c r="E155" s="3" t="s">
        <v>738</v>
      </c>
      <c r="F155" s="3" t="s">
        <v>197</v>
      </c>
      <c r="G155" s="3" t="s">
        <v>884</v>
      </c>
      <c r="H155" s="3" t="s">
        <v>241</v>
      </c>
      <c r="I155" s="3" t="s">
        <v>242</v>
      </c>
      <c r="J155" s="3"/>
      <c r="K155" s="8" t="str">
        <f>IF(VLOOKUP(C155,'part c-100%'!$D$7:$E$157,1,0)=FALSE,"100%","100%")</f>
        <v>100%</v>
      </c>
      <c r="L155" t="str">
        <f>INDEX('part c-100%'!$AF$7:$AF$155,MATCH(kanban!C155,'part c-100%'!$D$7:$D$155,),)</f>
        <v>FINASI</v>
      </c>
    </row>
    <row r="156" spans="1:12" ht="25.5" customHeight="1">
      <c r="A156" s="3" t="s">
        <v>414</v>
      </c>
      <c r="B156" s="3" t="s">
        <v>922</v>
      </c>
      <c r="C156" s="3" t="s">
        <v>195</v>
      </c>
      <c r="D156" s="3" t="s">
        <v>196</v>
      </c>
      <c r="E156" s="3" t="s">
        <v>738</v>
      </c>
      <c r="F156" s="3" t="s">
        <v>726</v>
      </c>
      <c r="G156" s="3" t="s">
        <v>884</v>
      </c>
      <c r="H156" s="3" t="s">
        <v>241</v>
      </c>
      <c r="I156" s="3" t="s">
        <v>242</v>
      </c>
      <c r="J156" s="3"/>
      <c r="K156" s="8" t="str">
        <f>IF(VLOOKUP(C156,'part c-100%'!$D$7:$E$157,1,0)=FALSE,"100%","100%")</f>
        <v>100%</v>
      </c>
      <c r="L156" t="str">
        <f>INDEX('part c-100%'!$AF$7:$AF$155,MATCH(kanban!C156,'part c-100%'!$D$7:$D$155,),)</f>
        <v>FIKRI</v>
      </c>
    </row>
    <row r="157" spans="1:12" ht="25.5" customHeight="1">
      <c r="A157" s="3" t="s">
        <v>260</v>
      </c>
      <c r="B157" s="3" t="s">
        <v>924</v>
      </c>
      <c r="C157" s="3" t="s">
        <v>243</v>
      </c>
      <c r="D157" s="3" t="s">
        <v>380</v>
      </c>
      <c r="E157" s="3" t="s">
        <v>814</v>
      </c>
      <c r="F157" s="3" t="s">
        <v>723</v>
      </c>
      <c r="G157" s="3" t="s">
        <v>884</v>
      </c>
      <c r="H157" s="3" t="s">
        <v>241</v>
      </c>
      <c r="I157" s="3" t="s">
        <v>244</v>
      </c>
      <c r="J157" s="3"/>
      <c r="K157" s="8" t="str">
        <f>IF(VLOOKUP(C157,'part c-100%'!$D$7:$E$157,1,0)=FALSE,"100%","100%")</f>
        <v>100%</v>
      </c>
      <c r="L157" t="str">
        <f>INDEX('part c-100%'!$AF$7:$AF$155,MATCH(kanban!C157,'part c-100%'!$D$7:$D$155,),)</f>
        <v>BAHAR</v>
      </c>
    </row>
    <row r="158" spans="1:12" ht="25.5" customHeight="1">
      <c r="A158" s="3" t="s">
        <v>308</v>
      </c>
      <c r="B158" s="3" t="s">
        <v>926</v>
      </c>
      <c r="C158" s="3" t="s">
        <v>273</v>
      </c>
      <c r="D158" s="3" t="s">
        <v>274</v>
      </c>
      <c r="E158" s="3" t="s">
        <v>814</v>
      </c>
      <c r="F158" s="3" t="s">
        <v>440</v>
      </c>
      <c r="G158" s="3" t="s">
        <v>884</v>
      </c>
      <c r="H158" s="3" t="s">
        <v>241</v>
      </c>
      <c r="I158" s="3" t="s">
        <v>242</v>
      </c>
      <c r="J158" s="3"/>
      <c r="K158" s="8" t="e">
        <f>IF(VLOOKUP(C158,'part c-100%'!$D$7:$E$157,1,0)=FALSE,"100%","100%")</f>
        <v>#N/A</v>
      </c>
      <c r="L158" t="e">
        <f>INDEX('part c-100%'!$AF$7:$AF$155,MATCH(kanban!C158,'part c-100%'!$D$7:$D$155,),)</f>
        <v>#N/A</v>
      </c>
    </row>
    <row r="159" spans="1:12" ht="25.5" customHeight="1">
      <c r="A159" s="3" t="s">
        <v>461</v>
      </c>
      <c r="B159" s="3" t="s">
        <v>959</v>
      </c>
      <c r="C159" s="3" t="s">
        <v>500</v>
      </c>
      <c r="D159" s="3" t="s">
        <v>501</v>
      </c>
      <c r="E159" s="3" t="s">
        <v>960</v>
      </c>
      <c r="F159" s="3" t="s">
        <v>281</v>
      </c>
      <c r="G159" s="3" t="s">
        <v>884</v>
      </c>
      <c r="H159" s="3" t="s">
        <v>241</v>
      </c>
      <c r="I159" s="3" t="s">
        <v>242</v>
      </c>
      <c r="J159" s="3"/>
      <c r="K159" s="8" t="e">
        <f>IF(VLOOKUP(C159,'part c-100%'!$D$7:$E$157,1,0)=FALSE,"100%","100%")</f>
        <v>#N/A</v>
      </c>
      <c r="L159" t="e">
        <f>INDEX('part c-100%'!$AF$7:$AF$155,MATCH(kanban!C159,'part c-100%'!$D$7:$D$155,),)</f>
        <v>#N/A</v>
      </c>
    </row>
    <row r="160" spans="1:12" ht="25.5" customHeight="1">
      <c r="A160" s="3" t="s">
        <v>463</v>
      </c>
      <c r="B160" s="3" t="s">
        <v>961</v>
      </c>
      <c r="C160" s="3" t="s">
        <v>243</v>
      </c>
      <c r="D160" s="3" t="s">
        <v>380</v>
      </c>
      <c r="E160" s="3" t="s">
        <v>960</v>
      </c>
      <c r="F160" s="3" t="s">
        <v>591</v>
      </c>
      <c r="G160" s="3" t="s">
        <v>884</v>
      </c>
      <c r="H160" s="3" t="s">
        <v>241</v>
      </c>
      <c r="I160" s="3" t="s">
        <v>244</v>
      </c>
      <c r="J160" s="3"/>
      <c r="K160" s="8" t="str">
        <f>IF(VLOOKUP(C160,'part c-100%'!$D$7:$E$157,1,0)=FALSE,"100%","100%")</f>
        <v>100%</v>
      </c>
      <c r="L160" t="str">
        <f>INDEX('part c-100%'!$AF$7:$AF$155,MATCH(kanban!C160,'part c-100%'!$D$7:$D$155,),)</f>
        <v>BAHAR</v>
      </c>
    </row>
    <row r="161" spans="1:12" ht="25.5" customHeight="1">
      <c r="A161" s="3" t="s">
        <v>464</v>
      </c>
      <c r="B161" s="3" t="s">
        <v>962</v>
      </c>
      <c r="C161" s="3" t="s">
        <v>963</v>
      </c>
      <c r="D161" s="3" t="s">
        <v>964</v>
      </c>
      <c r="E161" s="3" t="s">
        <v>960</v>
      </c>
      <c r="F161" s="3" t="s">
        <v>482</v>
      </c>
      <c r="G161" s="3" t="s">
        <v>884</v>
      </c>
      <c r="H161" s="3" t="s">
        <v>241</v>
      </c>
      <c r="I161" s="3" t="s">
        <v>242</v>
      </c>
      <c r="J161" s="3"/>
      <c r="K161" s="8" t="e">
        <f>IF(VLOOKUP(C161,'part c-100%'!$D$7:$E$157,1,0)=FALSE,"100%","100%")</f>
        <v>#N/A</v>
      </c>
      <c r="L161" t="e">
        <f>INDEX('part c-100%'!$AF$7:$AF$155,MATCH(kanban!C161,'part c-100%'!$D$7:$D$155,),)</f>
        <v>#N/A</v>
      </c>
    </row>
    <row r="162" spans="1:12" ht="25.5" customHeight="1">
      <c r="A162" s="3" t="s">
        <v>465</v>
      </c>
      <c r="B162" s="3" t="s">
        <v>965</v>
      </c>
      <c r="C162" s="3" t="s">
        <v>278</v>
      </c>
      <c r="D162" s="3" t="s">
        <v>279</v>
      </c>
      <c r="E162" s="3" t="s">
        <v>960</v>
      </c>
      <c r="F162" s="3" t="s">
        <v>590</v>
      </c>
      <c r="G162" s="3" t="s">
        <v>884</v>
      </c>
      <c r="H162" s="3" t="s">
        <v>241</v>
      </c>
      <c r="I162" s="3" t="s">
        <v>242</v>
      </c>
      <c r="J162" s="3"/>
      <c r="K162" s="8" t="str">
        <f>IF(VLOOKUP(C162,'part c-100%'!$D$7:$E$157,1,0)=FALSE,"100%","100%")</f>
        <v>100%</v>
      </c>
      <c r="L162" t="str">
        <f>INDEX('part c-100%'!$AF$7:$AF$155,MATCH(kanban!C162,'part c-100%'!$D$7:$D$155,),)</f>
        <v>WULAN</v>
      </c>
    </row>
    <row r="163" spans="1:12" ht="25.5" customHeight="1">
      <c r="A163" s="3" t="s">
        <v>468</v>
      </c>
      <c r="B163" s="3" t="s">
        <v>966</v>
      </c>
      <c r="C163" s="3" t="s">
        <v>967</v>
      </c>
      <c r="D163" s="3" t="s">
        <v>968</v>
      </c>
      <c r="E163" s="3" t="s">
        <v>946</v>
      </c>
      <c r="F163" s="3" t="s">
        <v>969</v>
      </c>
      <c r="G163" s="3" t="s">
        <v>884</v>
      </c>
      <c r="H163" s="3" t="s">
        <v>191</v>
      </c>
      <c r="I163" s="3" t="s">
        <v>192</v>
      </c>
      <c r="J163" s="3"/>
      <c r="K163" s="8" t="e">
        <f>IF(VLOOKUP(C163,'part c-100%'!$D$7:$E$157,1,0)=FALSE,"100%","100%")</f>
        <v>#N/A</v>
      </c>
      <c r="L163" t="e">
        <f>INDEX('part c-100%'!$AF$7:$AF$155,MATCH(kanban!C163,'part c-100%'!$D$7:$D$155,),)</f>
        <v>#N/A</v>
      </c>
    </row>
    <row r="164" spans="1:12" ht="25.5" customHeight="1">
      <c r="A164" s="3" t="s">
        <v>470</v>
      </c>
      <c r="B164" s="3" t="s">
        <v>970</v>
      </c>
      <c r="C164" s="3" t="s">
        <v>200</v>
      </c>
      <c r="D164" s="3" t="s">
        <v>201</v>
      </c>
      <c r="E164" s="3" t="s">
        <v>946</v>
      </c>
      <c r="F164" s="3" t="s">
        <v>971</v>
      </c>
      <c r="G164" s="3" t="s">
        <v>884</v>
      </c>
      <c r="H164" s="3" t="s">
        <v>191</v>
      </c>
      <c r="I164" s="3" t="s">
        <v>192</v>
      </c>
      <c r="J164" s="3"/>
      <c r="K164" s="8" t="e">
        <f>IF(VLOOKUP(C164,'part c-100%'!$D$7:$E$157,1,0)=FALSE,"100%","100%")</f>
        <v>#N/A</v>
      </c>
      <c r="L164" t="e">
        <f>INDEX('part c-100%'!$AF$7:$AF$155,MATCH(kanban!C164,'part c-100%'!$D$7:$D$155,),)</f>
        <v>#N/A</v>
      </c>
    </row>
    <row r="165" spans="1:12" ht="25.5" customHeight="1">
      <c r="A165" s="3" t="s">
        <v>471</v>
      </c>
      <c r="B165" s="3" t="s">
        <v>972</v>
      </c>
      <c r="C165" s="3" t="s">
        <v>330</v>
      </c>
      <c r="D165" s="3" t="s">
        <v>331</v>
      </c>
      <c r="E165" s="3" t="s">
        <v>946</v>
      </c>
      <c r="F165" s="3" t="s">
        <v>374</v>
      </c>
      <c r="G165" s="3" t="s">
        <v>884</v>
      </c>
      <c r="H165" s="3" t="s">
        <v>191</v>
      </c>
      <c r="I165" s="3" t="s">
        <v>332</v>
      </c>
      <c r="J165" s="3"/>
      <c r="K165" s="8" t="e">
        <f>IF(VLOOKUP(C165,'part c-100%'!$D$7:$E$157,1,0)=FALSE,"100%","100%")</f>
        <v>#N/A</v>
      </c>
      <c r="L165" t="e">
        <f>INDEX('part c-100%'!$AF$7:$AF$155,MATCH(kanban!C165,'part c-100%'!$D$7:$D$155,),)</f>
        <v>#N/A</v>
      </c>
    </row>
    <row r="166" spans="1:12" ht="25.5" customHeight="1">
      <c r="A166" s="3" t="s">
        <v>472</v>
      </c>
      <c r="B166" s="3" t="s">
        <v>973</v>
      </c>
      <c r="C166" s="3" t="s">
        <v>202</v>
      </c>
      <c r="D166" s="3" t="s">
        <v>203</v>
      </c>
      <c r="E166" s="3" t="s">
        <v>946</v>
      </c>
      <c r="F166" s="3" t="s">
        <v>717</v>
      </c>
      <c r="G166" s="3" t="s">
        <v>884</v>
      </c>
      <c r="H166" s="3" t="s">
        <v>191</v>
      </c>
      <c r="I166" s="3" t="s">
        <v>192</v>
      </c>
      <c r="J166" s="3"/>
      <c r="K166" s="8" t="e">
        <f>IF(VLOOKUP(C166,'part c-100%'!$D$7:$E$157,1,0)=FALSE,"100%","100%")</f>
        <v>#N/A</v>
      </c>
      <c r="L166" t="e">
        <f>INDEX('part c-100%'!$AF$7:$AF$155,MATCH(kanban!C166,'part c-100%'!$D$7:$D$155,),)</f>
        <v>#N/A</v>
      </c>
    </row>
    <row r="167" spans="1:12" ht="25.5" customHeight="1">
      <c r="A167" s="3" t="s">
        <v>473</v>
      </c>
      <c r="B167" s="3" t="s">
        <v>974</v>
      </c>
      <c r="C167" s="3" t="s">
        <v>292</v>
      </c>
      <c r="D167" s="3" t="s">
        <v>401</v>
      </c>
      <c r="E167" s="3" t="s">
        <v>946</v>
      </c>
      <c r="F167" s="3" t="s">
        <v>402</v>
      </c>
      <c r="G167" s="3" t="s">
        <v>884</v>
      </c>
      <c r="H167" s="3" t="s">
        <v>191</v>
      </c>
      <c r="I167" s="3" t="s">
        <v>192</v>
      </c>
      <c r="J167" s="3"/>
      <c r="K167" s="8" t="str">
        <f>IF(VLOOKUP(C167,'part c-100%'!$D$7:$E$157,1,0)=FALSE,"100%","100%")</f>
        <v>100%</v>
      </c>
      <c r="L167" t="str">
        <f>INDEX('part c-100%'!$AF$7:$AF$155,MATCH(kanban!C167,'part c-100%'!$D$7:$D$155,),)</f>
        <v>FINASI</v>
      </c>
    </row>
    <row r="168" spans="1:12" ht="25.5" customHeight="1">
      <c r="A168" s="3" t="s">
        <v>474</v>
      </c>
      <c r="B168" s="3" t="s">
        <v>975</v>
      </c>
      <c r="C168" s="3" t="s">
        <v>944</v>
      </c>
      <c r="D168" s="3" t="s">
        <v>945</v>
      </c>
      <c r="E168" s="3" t="s">
        <v>946</v>
      </c>
      <c r="F168" s="3" t="s">
        <v>634</v>
      </c>
      <c r="G168" s="3" t="s">
        <v>884</v>
      </c>
      <c r="H168" s="3" t="s">
        <v>191</v>
      </c>
      <c r="I168" s="3" t="s">
        <v>192</v>
      </c>
      <c r="J168" s="3"/>
      <c r="K168" s="8" t="e">
        <f>IF(VLOOKUP(C168,'part c-100%'!$D$7:$E$157,1,0)=FALSE,"100%","100%")</f>
        <v>#N/A</v>
      </c>
      <c r="L168" t="e">
        <f>INDEX('part c-100%'!$AF$7:$AF$155,MATCH(kanban!C168,'part c-100%'!$D$7:$D$155,),)</f>
        <v>#N/A</v>
      </c>
    </row>
    <row r="169" spans="1:12" ht="25.5" customHeight="1">
      <c r="A169" s="3" t="s">
        <v>475</v>
      </c>
      <c r="B169" s="3" t="s">
        <v>976</v>
      </c>
      <c r="C169" s="3" t="s">
        <v>658</v>
      </c>
      <c r="D169" s="3" t="s">
        <v>659</v>
      </c>
      <c r="E169" s="3" t="s">
        <v>948</v>
      </c>
      <c r="F169" s="3" t="s">
        <v>731</v>
      </c>
      <c r="G169" s="3" t="s">
        <v>884</v>
      </c>
      <c r="H169" s="3" t="s">
        <v>191</v>
      </c>
      <c r="I169" s="3" t="s">
        <v>192</v>
      </c>
      <c r="J169" s="3"/>
      <c r="K169" s="8" t="e">
        <f>IF(VLOOKUP(C169,'part c-100%'!$D$7:$E$157,1,0)=FALSE,"100%","100%")</f>
        <v>#N/A</v>
      </c>
      <c r="L169" t="e">
        <f>INDEX('part c-100%'!$AF$7:$AF$155,MATCH(kanban!C169,'part c-100%'!$D$7:$D$155,),)</f>
        <v>#N/A</v>
      </c>
    </row>
    <row r="170" spans="1:12" ht="25.5" customHeight="1">
      <c r="A170" s="3" t="s">
        <v>477</v>
      </c>
      <c r="B170" s="3" t="s">
        <v>977</v>
      </c>
      <c r="C170" s="3" t="s">
        <v>270</v>
      </c>
      <c r="D170" s="3" t="s">
        <v>271</v>
      </c>
      <c r="E170" s="3" t="s">
        <v>948</v>
      </c>
      <c r="F170" s="3" t="s">
        <v>591</v>
      </c>
      <c r="G170" s="3" t="s">
        <v>884</v>
      </c>
      <c r="H170" s="3" t="s">
        <v>191</v>
      </c>
      <c r="I170" s="3" t="s">
        <v>192</v>
      </c>
      <c r="J170" s="3"/>
      <c r="K170" s="8" t="e">
        <f>IF(VLOOKUP(C170,'part c-100%'!$D$7:$E$157,1,0)=FALSE,"100%","100%")</f>
        <v>#N/A</v>
      </c>
      <c r="L170" t="e">
        <f>INDEX('part c-100%'!$AF$7:$AF$155,MATCH(kanban!C170,'part c-100%'!$D$7:$D$155,),)</f>
        <v>#N/A</v>
      </c>
    </row>
    <row r="171" spans="1:12" ht="25.5" customHeight="1">
      <c r="A171" s="3" t="s">
        <v>618</v>
      </c>
      <c r="B171" s="3" t="s">
        <v>978</v>
      </c>
      <c r="C171" s="3" t="s">
        <v>729</v>
      </c>
      <c r="D171" s="3" t="s">
        <v>730</v>
      </c>
      <c r="E171" s="3" t="s">
        <v>948</v>
      </c>
      <c r="F171" s="3" t="s">
        <v>226</v>
      </c>
      <c r="G171" s="3" t="s">
        <v>884</v>
      </c>
      <c r="H171" s="3" t="s">
        <v>191</v>
      </c>
      <c r="I171" s="3" t="s">
        <v>192</v>
      </c>
      <c r="J171" s="3"/>
      <c r="K171" s="8" t="e">
        <f>IF(VLOOKUP(C171,'part c-100%'!$D$7:$E$157,1,0)=FALSE,"100%","100%")</f>
        <v>#N/A</v>
      </c>
      <c r="L171" t="e">
        <f>INDEX('part c-100%'!$AF$7:$AF$155,MATCH(kanban!C171,'part c-100%'!$D$7:$D$155,),)</f>
        <v>#N/A</v>
      </c>
    </row>
    <row r="172" spans="1:12" ht="25.5" customHeight="1">
      <c r="A172" s="3" t="s">
        <v>619</v>
      </c>
      <c r="B172" s="3" t="s">
        <v>979</v>
      </c>
      <c r="C172" s="3" t="s">
        <v>719</v>
      </c>
      <c r="D172" s="3" t="s">
        <v>720</v>
      </c>
      <c r="E172" s="3" t="s">
        <v>948</v>
      </c>
      <c r="F172" s="3" t="s">
        <v>980</v>
      </c>
      <c r="G172" s="3" t="s">
        <v>884</v>
      </c>
      <c r="H172" s="3" t="s">
        <v>191</v>
      </c>
      <c r="I172" s="3" t="s">
        <v>192</v>
      </c>
      <c r="J172" s="3"/>
      <c r="K172" s="8" t="e">
        <f>IF(VLOOKUP(C172,'part c-100%'!$D$7:$E$157,1,0)=FALSE,"100%","100%")</f>
        <v>#N/A</v>
      </c>
      <c r="L172" t="e">
        <f>INDEX('part c-100%'!$AF$7:$AF$155,MATCH(kanban!C172,'part c-100%'!$D$7:$D$155,),)</f>
        <v>#N/A</v>
      </c>
    </row>
    <row r="173" spans="1:12" ht="25.5" customHeight="1">
      <c r="A173" s="3" t="s">
        <v>620</v>
      </c>
      <c r="B173" s="3" t="s">
        <v>981</v>
      </c>
      <c r="C173" s="3" t="s">
        <v>352</v>
      </c>
      <c r="D173" s="3" t="s">
        <v>982</v>
      </c>
      <c r="E173" s="3" t="s">
        <v>948</v>
      </c>
      <c r="F173" s="3" t="s">
        <v>614</v>
      </c>
      <c r="G173" s="3" t="s">
        <v>884</v>
      </c>
      <c r="H173" s="3" t="s">
        <v>191</v>
      </c>
      <c r="I173" s="3" t="s">
        <v>192</v>
      </c>
      <c r="J173" s="3"/>
      <c r="K173" s="8" t="str">
        <f>IF(VLOOKUP(C173,'part c-100%'!$D$7:$E$157,1,0)=FALSE,"100%","100%")</f>
        <v>100%</v>
      </c>
      <c r="L173" t="str">
        <f>INDEX('part c-100%'!$AF$7:$AF$155,MATCH(kanban!C173,'part c-100%'!$D$7:$D$155,),)</f>
        <v>BAHAR</v>
      </c>
    </row>
    <row r="174" spans="1:12" ht="25.5" customHeight="1">
      <c r="A174" s="3" t="s">
        <v>624</v>
      </c>
      <c r="B174" s="3" t="s">
        <v>983</v>
      </c>
      <c r="C174" s="3" t="s">
        <v>294</v>
      </c>
      <c r="D174" s="3" t="s">
        <v>570</v>
      </c>
      <c r="E174" s="3" t="s">
        <v>950</v>
      </c>
      <c r="F174" s="3" t="s">
        <v>385</v>
      </c>
      <c r="G174" s="3" t="s">
        <v>884</v>
      </c>
      <c r="H174" s="3" t="s">
        <v>198</v>
      </c>
      <c r="I174" s="3" t="s">
        <v>199</v>
      </c>
      <c r="J174" s="3"/>
      <c r="K174" s="8" t="str">
        <f>IF(VLOOKUP(C174,'part c-100%'!$D$7:$E$157,1,0)=FALSE,"100%","100%")</f>
        <v>100%</v>
      </c>
      <c r="L174" t="str">
        <f>INDEX('part c-100%'!$AF$7:$AF$155,MATCH(kanban!C174,'part c-100%'!$D$7:$D$155,),)</f>
        <v>BAHAR</v>
      </c>
    </row>
    <row r="175" spans="1:12" ht="25.5" customHeight="1">
      <c r="A175" s="3" t="s">
        <v>637</v>
      </c>
      <c r="B175" s="3" t="s">
        <v>984</v>
      </c>
      <c r="C175" s="3" t="s">
        <v>293</v>
      </c>
      <c r="D175" s="3" t="s">
        <v>594</v>
      </c>
      <c r="E175" s="3" t="s">
        <v>950</v>
      </c>
      <c r="F175" s="3" t="s">
        <v>952</v>
      </c>
      <c r="G175" s="3" t="s">
        <v>884</v>
      </c>
      <c r="H175" s="3" t="s">
        <v>198</v>
      </c>
      <c r="I175" s="3" t="s">
        <v>199</v>
      </c>
      <c r="J175" s="3"/>
      <c r="K175" s="8" t="str">
        <f>IF(VLOOKUP(C175,'part c-100%'!$D$7:$E$157,1,0)=FALSE,"100%","100%")</f>
        <v>100%</v>
      </c>
      <c r="L175" t="str">
        <f>INDEX('part c-100%'!$AF$7:$AF$155,MATCH(kanban!C175,'part c-100%'!$D$7:$D$155,),)</f>
        <v>FIKRI</v>
      </c>
    </row>
    <row r="176" spans="1:12" ht="25.5" customHeight="1">
      <c r="A176" s="3" t="s">
        <v>639</v>
      </c>
      <c r="B176" s="3" t="s">
        <v>985</v>
      </c>
      <c r="C176" s="3" t="s">
        <v>269</v>
      </c>
      <c r="D176" s="3" t="s">
        <v>613</v>
      </c>
      <c r="E176" s="3" t="s">
        <v>986</v>
      </c>
      <c r="F176" s="3" t="s">
        <v>197</v>
      </c>
      <c r="G176" s="3" t="s">
        <v>884</v>
      </c>
      <c r="H176" s="3" t="s">
        <v>198</v>
      </c>
      <c r="I176" s="3" t="s">
        <v>199</v>
      </c>
      <c r="J176" s="3"/>
      <c r="K176" s="8" t="str">
        <f>IF(VLOOKUP(C176,'part c-100%'!$D$7:$E$157,1,0)=FALSE,"100%","100%")</f>
        <v>100%</v>
      </c>
      <c r="L176" t="str">
        <f>INDEX('part c-100%'!$AF$7:$AF$155,MATCH(kanban!C176,'part c-100%'!$D$7:$D$155,),)</f>
        <v>FIKRI</v>
      </c>
    </row>
    <row r="177" spans="1:14" ht="25.5" customHeight="1">
      <c r="A177" s="3" t="s">
        <v>640</v>
      </c>
      <c r="B177" s="3" t="s">
        <v>987</v>
      </c>
      <c r="C177" s="3" t="s">
        <v>268</v>
      </c>
      <c r="D177" s="3" t="s">
        <v>704</v>
      </c>
      <c r="E177" s="3" t="s">
        <v>986</v>
      </c>
      <c r="F177" s="3" t="s">
        <v>197</v>
      </c>
      <c r="G177" s="3" t="s">
        <v>884</v>
      </c>
      <c r="H177" s="3" t="s">
        <v>198</v>
      </c>
      <c r="I177" s="3" t="s">
        <v>199</v>
      </c>
      <c r="J177" s="3"/>
      <c r="K177" s="8" t="str">
        <f>IF(VLOOKUP(C177,'part c-100%'!$D$7:$E$157,1,0)=FALSE,"100%","100%")</f>
        <v>100%</v>
      </c>
      <c r="L177" t="str">
        <f>INDEX('part c-100%'!$AF$7:$AF$155,MATCH(kanban!C177,'part c-100%'!$D$7:$D$155,),)</f>
        <v>BAHAR</v>
      </c>
    </row>
    <row r="178" spans="1:14" ht="25.5" customHeight="1">
      <c r="A178" s="3" t="s">
        <v>641</v>
      </c>
      <c r="B178" s="3" t="s">
        <v>988</v>
      </c>
      <c r="C178" s="3" t="s">
        <v>667</v>
      </c>
      <c r="D178" s="3" t="s">
        <v>668</v>
      </c>
      <c r="E178" s="3" t="s">
        <v>986</v>
      </c>
      <c r="F178" s="3" t="s">
        <v>669</v>
      </c>
      <c r="G178" s="3" t="s">
        <v>884</v>
      </c>
      <c r="H178" s="3" t="s">
        <v>198</v>
      </c>
      <c r="I178" s="3" t="s">
        <v>199</v>
      </c>
      <c r="J178" s="3"/>
      <c r="K178" s="8" t="e">
        <f>IF(VLOOKUP(C178,'part c-100%'!$D$7:$E$157,1,0)=FALSE,"100%","100%")</f>
        <v>#N/A</v>
      </c>
      <c r="L178" t="e">
        <f>INDEX('part c-100%'!$AF$7:$AF$155,MATCH(kanban!C178,'part c-100%'!$D$7:$D$155,),)</f>
        <v>#N/A</v>
      </c>
    </row>
    <row r="179" spans="1:14" ht="25.5" customHeight="1">
      <c r="A179" s="3" t="s">
        <v>642</v>
      </c>
      <c r="B179" s="3" t="s">
        <v>989</v>
      </c>
      <c r="C179" s="3" t="s">
        <v>298</v>
      </c>
      <c r="D179" s="3" t="s">
        <v>533</v>
      </c>
      <c r="E179" s="3" t="s">
        <v>986</v>
      </c>
      <c r="F179" s="3" t="s">
        <v>629</v>
      </c>
      <c r="G179" s="3" t="s">
        <v>884</v>
      </c>
      <c r="H179" s="3" t="s">
        <v>198</v>
      </c>
      <c r="I179" s="3" t="s">
        <v>199</v>
      </c>
      <c r="J179" s="3"/>
      <c r="K179" s="8" t="str">
        <f>IF(VLOOKUP(C179,'part c-100%'!$D$7:$E$157,1,0)=FALSE,"100%","100%")</f>
        <v>100%</v>
      </c>
      <c r="L179" t="str">
        <f>INDEX('part c-100%'!$AF$7:$AF$155,MATCH(kanban!C179,'part c-100%'!$D$7:$D$155,),)</f>
        <v>BAHAR</v>
      </c>
    </row>
    <row r="180" spans="1:14" ht="25.5" customHeight="1">
      <c r="A180" s="3" t="s">
        <v>643</v>
      </c>
      <c r="B180" s="3" t="s">
        <v>990</v>
      </c>
      <c r="C180" s="3" t="s">
        <v>295</v>
      </c>
      <c r="D180" s="3" t="s">
        <v>991</v>
      </c>
      <c r="E180" s="3" t="s">
        <v>986</v>
      </c>
      <c r="F180" s="3" t="s">
        <v>440</v>
      </c>
      <c r="G180" s="3" t="s">
        <v>884</v>
      </c>
      <c r="H180" s="3" t="s">
        <v>198</v>
      </c>
      <c r="I180" s="3" t="s">
        <v>199</v>
      </c>
      <c r="J180" s="3"/>
      <c r="K180" s="8" t="str">
        <f>IF(VLOOKUP(C180,'part c-100%'!$D$7:$E$157,1,0)=FALSE,"100%","100%")</f>
        <v>100%</v>
      </c>
      <c r="L180" t="str">
        <f>INDEX('part c-100%'!$AF$7:$AF$155,MATCH(kanban!C180,'part c-100%'!$D$7:$D$155,),)</f>
        <v>BAGAS</v>
      </c>
    </row>
    <row r="181" spans="1:14" ht="25.5" customHeight="1">
      <c r="A181" s="3" t="s">
        <v>644</v>
      </c>
      <c r="B181" s="3" t="s">
        <v>992</v>
      </c>
      <c r="C181" s="3" t="s">
        <v>993</v>
      </c>
      <c r="D181" s="3" t="s">
        <v>994</v>
      </c>
      <c r="E181" s="3" t="s">
        <v>986</v>
      </c>
      <c r="F181" s="3" t="s">
        <v>842</v>
      </c>
      <c r="G181" s="3" t="s">
        <v>884</v>
      </c>
      <c r="H181" s="3" t="s">
        <v>198</v>
      </c>
      <c r="I181" s="3" t="s">
        <v>199</v>
      </c>
      <c r="J181" s="3"/>
      <c r="K181" s="8" t="e">
        <f>IF(VLOOKUP(C181,'part c-100%'!$D$7:$E$157,1,0)=FALSE,"100%","100%")</f>
        <v>#N/A</v>
      </c>
      <c r="L181" t="e">
        <f>INDEX('part c-100%'!$AF$7:$AF$155,MATCH(kanban!C181,'part c-100%'!$D$7:$D$155,),)</f>
        <v>#N/A</v>
      </c>
    </row>
    <row r="182" spans="1:14" ht="25.5" customHeight="1">
      <c r="A182" s="3" t="s">
        <v>645</v>
      </c>
      <c r="B182" s="3" t="s">
        <v>995</v>
      </c>
      <c r="C182" s="3" t="s">
        <v>353</v>
      </c>
      <c r="D182" s="3" t="s">
        <v>996</v>
      </c>
      <c r="E182" s="3" t="s">
        <v>986</v>
      </c>
      <c r="F182" s="3" t="s">
        <v>997</v>
      </c>
      <c r="G182" s="3" t="s">
        <v>884</v>
      </c>
      <c r="H182" s="3" t="s">
        <v>198</v>
      </c>
      <c r="I182" s="3" t="s">
        <v>199</v>
      </c>
      <c r="J182" s="3"/>
      <c r="K182" s="8" t="str">
        <f>IF(VLOOKUP(C182,'part c-100%'!$D$7:$E$157,1,0)=FALSE,"100%","100%")</f>
        <v>100%</v>
      </c>
      <c r="L182" t="str">
        <f>INDEX('part c-100%'!$AF$7:$AF$155,MATCH(kanban!C182,'part c-100%'!$D$7:$D$155,),)</f>
        <v>BAGAS</v>
      </c>
      <c r="M182" s="56"/>
      <c r="N182" s="56"/>
    </row>
    <row r="183" spans="1:14" ht="25.5" customHeight="1">
      <c r="A183" s="3" t="s">
        <v>646</v>
      </c>
      <c r="B183" s="3" t="s">
        <v>998</v>
      </c>
      <c r="C183" s="3" t="s">
        <v>354</v>
      </c>
      <c r="D183" s="3" t="s">
        <v>334</v>
      </c>
      <c r="E183" s="3" t="s">
        <v>986</v>
      </c>
      <c r="F183" s="3" t="s">
        <v>214</v>
      </c>
      <c r="G183" s="3" t="s">
        <v>884</v>
      </c>
      <c r="H183" s="3" t="s">
        <v>198</v>
      </c>
      <c r="I183" s="3" t="s">
        <v>199</v>
      </c>
      <c r="J183" s="3"/>
      <c r="K183" s="8" t="str">
        <f>IF(VLOOKUP(C183,'part c-100%'!$D$7:$E$157,1,0)=FALSE,"100%","100%")</f>
        <v>100%</v>
      </c>
      <c r="L183" t="str">
        <f>INDEX('part c-100%'!$AF$7:$AF$155,MATCH(kanban!C183,'part c-100%'!$D$7:$D$155,),)</f>
        <v>FINASI</v>
      </c>
      <c r="M183" s="56"/>
      <c r="N183" s="56"/>
    </row>
    <row r="184" spans="1:14" ht="25.5" customHeight="1">
      <c r="A184" s="3" t="s">
        <v>647</v>
      </c>
      <c r="B184" s="3" t="s">
        <v>999</v>
      </c>
      <c r="C184" s="3" t="s">
        <v>327</v>
      </c>
      <c r="D184" s="3" t="s">
        <v>732</v>
      </c>
      <c r="E184" s="3" t="s">
        <v>986</v>
      </c>
      <c r="F184" s="3" t="s">
        <v>281</v>
      </c>
      <c r="G184" s="3" t="s">
        <v>884</v>
      </c>
      <c r="H184" s="3" t="s">
        <v>198</v>
      </c>
      <c r="I184" s="3" t="s">
        <v>199</v>
      </c>
      <c r="J184" s="3"/>
      <c r="K184" s="8" t="str">
        <f>IF(VLOOKUP(C184,'part c-100%'!$D$7:$E$157,1,0)=FALSE,"100%","100%")</f>
        <v>100%</v>
      </c>
      <c r="L184" t="str">
        <f>INDEX('part c-100%'!$AF$7:$AF$155,MATCH(kanban!C184,'part c-100%'!$D$7:$D$155,),)</f>
        <v>ANNA</v>
      </c>
      <c r="M184" s="56"/>
      <c r="N184" s="56"/>
    </row>
    <row r="185" spans="1:14" ht="25.5" customHeight="1">
      <c r="A185" s="3" t="s">
        <v>694</v>
      </c>
      <c r="B185" s="3" t="s">
        <v>1000</v>
      </c>
      <c r="C185" s="3" t="s">
        <v>572</v>
      </c>
      <c r="D185" s="3" t="s">
        <v>573</v>
      </c>
      <c r="E185" s="3" t="s">
        <v>955</v>
      </c>
      <c r="F185" s="3" t="s">
        <v>403</v>
      </c>
      <c r="G185" s="3" t="s">
        <v>884</v>
      </c>
      <c r="H185" s="3" t="s">
        <v>198</v>
      </c>
      <c r="I185" s="3" t="s">
        <v>199</v>
      </c>
      <c r="J185" s="3"/>
      <c r="K185" s="8" t="e">
        <f>IF(VLOOKUP(C185,'part c-100%'!$D$7:$E$157,1,0)=FALSE,"100%","100%")</f>
        <v>#N/A</v>
      </c>
      <c r="L185" t="e">
        <f>INDEX('part c-100%'!$AF$7:$AF$155,MATCH(kanban!C185,'part c-100%'!$D$7:$D$155,),)</f>
        <v>#N/A</v>
      </c>
      <c r="M185" s="56"/>
      <c r="N185" s="56"/>
    </row>
    <row r="186" spans="1:14" ht="25.5" customHeight="1">
      <c r="A186" s="3" t="s">
        <v>696</v>
      </c>
      <c r="B186" s="3" t="s">
        <v>1001</v>
      </c>
      <c r="C186" s="3" t="s">
        <v>297</v>
      </c>
      <c r="D186" s="3" t="s">
        <v>571</v>
      </c>
      <c r="E186" s="3" t="s">
        <v>955</v>
      </c>
      <c r="F186" s="3" t="s">
        <v>733</v>
      </c>
      <c r="G186" s="3" t="s">
        <v>884</v>
      </c>
      <c r="H186" s="3" t="s">
        <v>198</v>
      </c>
      <c r="I186" s="3" t="s">
        <v>199</v>
      </c>
      <c r="J186" s="3"/>
      <c r="K186" s="8" t="str">
        <f>IF(VLOOKUP(C186,'part c-100%'!$D$7:$E$157,1,0)=FALSE,"100%","100%")</f>
        <v>100%</v>
      </c>
      <c r="L186" t="str">
        <f>INDEX('part c-100%'!$AF$7:$AF$155,MATCH(kanban!C186,'part c-100%'!$D$7:$D$155,),)</f>
        <v>FIKRI</v>
      </c>
      <c r="M186" s="56"/>
      <c r="N186" s="56"/>
    </row>
    <row r="187" spans="1:14" ht="15" customHeight="1">
      <c r="A187" s="3" t="s">
        <v>697</v>
      </c>
      <c r="B187" s="3" t="s">
        <v>1002</v>
      </c>
      <c r="C187" s="3" t="s">
        <v>355</v>
      </c>
      <c r="D187" s="3" t="s">
        <v>597</v>
      </c>
      <c r="E187" s="3" t="s">
        <v>955</v>
      </c>
      <c r="F187" s="3" t="s">
        <v>482</v>
      </c>
      <c r="G187" s="3" t="s">
        <v>884</v>
      </c>
      <c r="H187" s="3" t="s">
        <v>198</v>
      </c>
      <c r="I187" s="3" t="s">
        <v>199</v>
      </c>
      <c r="J187" s="3"/>
      <c r="K187" s="8" t="str">
        <f>IF(VLOOKUP(C187,'part c-100%'!$D$7:$E$157,1,0)=FALSE,"100%","100%")</f>
        <v>100%</v>
      </c>
      <c r="L187" t="str">
        <f>INDEX('part c-100%'!$AF$7:$AF$155,MATCH(kanban!C187,'part c-100%'!$D$7:$D$155,),)</f>
        <v>BAHAR</v>
      </c>
      <c r="M187" s="56"/>
      <c r="N187" s="56"/>
    </row>
    <row r="188" spans="1:14" ht="15" customHeight="1">
      <c r="A188" s="3" t="s">
        <v>698</v>
      </c>
      <c r="B188" s="3" t="s">
        <v>1003</v>
      </c>
      <c r="C188" s="3" t="s">
        <v>595</v>
      </c>
      <c r="D188" s="3" t="s">
        <v>596</v>
      </c>
      <c r="E188" s="3" t="s">
        <v>955</v>
      </c>
      <c r="F188" s="3" t="s">
        <v>734</v>
      </c>
      <c r="G188" s="3" t="s">
        <v>884</v>
      </c>
      <c r="H188" s="3" t="s">
        <v>198</v>
      </c>
      <c r="I188" s="3" t="s">
        <v>199</v>
      </c>
      <c r="J188" s="3"/>
      <c r="K188" s="8" t="e">
        <f>IF(VLOOKUP(C188,'part c-100%'!$D$7:$E$157,1,0)=FALSE,"100%","100%")</f>
        <v>#N/A</v>
      </c>
      <c r="L188" t="e">
        <f>INDEX('part c-100%'!$AF$7:$AF$155,MATCH(kanban!C188,'part c-100%'!$D$7:$D$155,),)</f>
        <v>#N/A</v>
      </c>
      <c r="M188" s="56"/>
      <c r="N188" s="56"/>
    </row>
    <row r="189" spans="1:14" ht="15" customHeight="1">
      <c r="A189" s="3" t="s">
        <v>699</v>
      </c>
      <c r="B189" s="3" t="s">
        <v>1004</v>
      </c>
      <c r="C189" s="3" t="s">
        <v>296</v>
      </c>
      <c r="D189" s="3" t="s">
        <v>1005</v>
      </c>
      <c r="E189" s="3" t="s">
        <v>955</v>
      </c>
      <c r="F189" s="3" t="s">
        <v>1006</v>
      </c>
      <c r="G189" s="3" t="s">
        <v>884</v>
      </c>
      <c r="H189" s="3" t="s">
        <v>198</v>
      </c>
      <c r="I189" s="3" t="s">
        <v>199</v>
      </c>
      <c r="J189" s="3"/>
      <c r="K189" s="8" t="str">
        <f>IF(VLOOKUP(C189,'part c-100%'!$D$7:$E$157,1,0)=FALSE,"100%","100%")</f>
        <v>100%</v>
      </c>
      <c r="L189" t="str">
        <f>INDEX('part c-100%'!$AF$7:$AF$155,MATCH(kanban!C189,'part c-100%'!$D$7:$D$155,),)</f>
        <v>ANGGIT</v>
      </c>
      <c r="M189" s="56"/>
      <c r="N189" s="56"/>
    </row>
    <row r="190" spans="1:14" ht="15" customHeight="1">
      <c r="A190" s="57"/>
      <c r="B190" s="57"/>
      <c r="C190" s="57"/>
      <c r="D190" s="57"/>
      <c r="E190" s="57"/>
      <c r="F190" s="57"/>
      <c r="G190" s="57">
        <f>SUBTOTAL(9,G125:G189)</f>
        <v>0</v>
      </c>
      <c r="H190" s="57"/>
      <c r="I190" s="57"/>
      <c r="J190" s="57"/>
      <c r="K190" s="8" t="e">
        <f>IF(VLOOKUP(C190,'part c-100%'!$D$7:$E$157,1,0)=FALSE,"100%","100%")</f>
        <v>#N/A</v>
      </c>
      <c r="L190" t="e">
        <f>INDEX('part c-100%'!$AF$7:$AF$155,MATCH(kanban!C190,'part c-100%'!$D$7:$D$155,),)</f>
        <v>#N/A</v>
      </c>
      <c r="M190" s="56"/>
      <c r="N190" s="56"/>
    </row>
    <row r="191" spans="1:14" ht="25.5" customHeight="1">
      <c r="A191" s="57"/>
      <c r="B191" s="57"/>
      <c r="C191" s="57"/>
      <c r="D191" s="57"/>
      <c r="E191" s="57"/>
      <c r="F191" s="57"/>
      <c r="G191" s="57">
        <f>SUBTOTAL(9,G6:G189)</f>
        <v>0</v>
      </c>
      <c r="H191" s="57"/>
      <c r="I191" s="57"/>
      <c r="J191" s="57"/>
      <c r="K191" s="8" t="e">
        <f>IF(VLOOKUP(C191,'part c-100%'!$D$7:$E$157,1,0)=FALSE,"100%","100%")</f>
        <v>#N/A</v>
      </c>
      <c r="L191" t="e">
        <f>INDEX('part c-100%'!$AF$7:$AF$155,MATCH(kanban!C191,'part c-100%'!$D$7:$D$155,),)</f>
        <v>#N/A</v>
      </c>
      <c r="M191" s="56"/>
      <c r="N191" s="56"/>
    </row>
    <row r="192" spans="1:14" ht="15" customHeight="1">
      <c r="A192" s="65"/>
      <c r="B192" s="65"/>
      <c r="C192" s="65"/>
      <c r="D192" s="65"/>
      <c r="E192" s="65"/>
      <c r="F192" s="65"/>
      <c r="G192" s="65"/>
      <c r="H192" s="65"/>
      <c r="I192" s="65"/>
      <c r="J192" s="65"/>
      <c r="K192" s="8" t="e">
        <f>IF(VLOOKUP(C192,'part c-100%'!$D$7:$E$157,1,0)=FALSE,"100%","100%")</f>
        <v>#N/A</v>
      </c>
      <c r="L192" t="e">
        <f>INDEX('part c-100%'!$AF$7:$AF$155,MATCH(kanban!C192,'part c-100%'!$D$7:$D$155,),)</f>
        <v>#N/A</v>
      </c>
      <c r="M192" s="56"/>
      <c r="N192" s="56"/>
    </row>
    <row r="193" spans="1:14" ht="15" customHeight="1">
      <c r="A193" s="63"/>
      <c r="B193" s="63"/>
      <c r="C193" s="63"/>
      <c r="D193" s="63"/>
      <c r="E193" s="63"/>
      <c r="F193" s="63"/>
      <c r="G193" s="63"/>
      <c r="H193" s="63"/>
      <c r="I193" s="63"/>
      <c r="J193" s="63"/>
      <c r="K193" s="8" t="e">
        <f>IF(VLOOKUP(C193,'part c-100%'!$D$7:$E$157,1,0)=FALSE,"100%","100%")</f>
        <v>#N/A</v>
      </c>
      <c r="L193" t="e">
        <f>INDEX('part c-100%'!$AF$7:$AF$155,MATCH(kanban!C193,'part c-100%'!$D$7:$D$155,),)</f>
        <v>#N/A</v>
      </c>
      <c r="M193" s="56"/>
      <c r="N193" s="56"/>
    </row>
    <row r="194" spans="1:14" ht="15" customHeight="1">
      <c r="A194" s="60" t="s">
        <v>1007</v>
      </c>
      <c r="B194" s="60"/>
      <c r="C194" s="60"/>
      <c r="D194" s="60"/>
      <c r="E194" s="60"/>
      <c r="F194" s="60"/>
      <c r="G194" s="60"/>
      <c r="H194" s="60"/>
      <c r="I194" s="60"/>
      <c r="J194" s="60"/>
      <c r="K194" s="8" t="e">
        <f>IF(VLOOKUP(C194,'part c-100%'!$D$7:$E$157,1,0)=FALSE,"100%","100%")</f>
        <v>#N/A</v>
      </c>
      <c r="L194" t="e">
        <f>INDEX('part c-100%'!$AF$7:$AF$155,MATCH(kanban!C194,'part c-100%'!$D$7:$D$155,),)</f>
        <v>#N/A</v>
      </c>
      <c r="M194" s="56"/>
      <c r="N194" s="56"/>
    </row>
    <row r="195" spans="1:14" ht="15" customHeight="1">
      <c r="A195" s="61"/>
      <c r="B195" s="61"/>
      <c r="C195" s="61"/>
      <c r="D195" s="61"/>
      <c r="E195" s="61"/>
      <c r="F195" s="61"/>
      <c r="G195" s="61"/>
      <c r="H195" s="61"/>
      <c r="I195" s="61"/>
      <c r="J195" s="61"/>
      <c r="K195" s="8" t="e">
        <f>IF(VLOOKUP(C195,'part c-100%'!$D$7:$E$157,1,0)=FALSE,"100%","100%")</f>
        <v>#N/A</v>
      </c>
      <c r="L195" t="e">
        <f>INDEX('part c-100%'!$AF$7:$AF$155,MATCH(kanban!C195,'part c-100%'!$D$7:$D$155,),)</f>
        <v>#N/A</v>
      </c>
      <c r="M195" s="56"/>
      <c r="N195" s="56"/>
    </row>
    <row r="196" spans="1:14" ht="15" customHeight="1">
      <c r="A196" s="3" t="s">
        <v>287</v>
      </c>
      <c r="B196" s="3" t="s">
        <v>901</v>
      </c>
      <c r="C196" s="3" t="s">
        <v>335</v>
      </c>
      <c r="D196" s="3" t="s">
        <v>728</v>
      </c>
      <c r="E196" s="3" t="s">
        <v>778</v>
      </c>
      <c r="F196" s="3" t="s">
        <v>197</v>
      </c>
      <c r="G196" s="3" t="s">
        <v>884</v>
      </c>
      <c r="H196" s="3" t="s">
        <v>191</v>
      </c>
      <c r="I196" s="3" t="s">
        <v>192</v>
      </c>
      <c r="J196" s="3"/>
      <c r="K196" s="8" t="str">
        <f>IF(VLOOKUP(C196,'part c-100%'!$D$7:$E$157,1,0)=FALSE,"100%","100%")</f>
        <v>100%</v>
      </c>
      <c r="L196" t="str">
        <f>INDEX('part c-100%'!$AF$7:$AF$155,MATCH(kanban!C196,'part c-100%'!$D$7:$D$155,),)</f>
        <v>FIKRI</v>
      </c>
      <c r="M196" s="56"/>
      <c r="N196" s="56"/>
    </row>
    <row r="197" spans="1:14" ht="25.5">
      <c r="A197" s="3" t="s">
        <v>414</v>
      </c>
      <c r="B197" s="3" t="s">
        <v>902</v>
      </c>
      <c r="C197" s="3" t="s">
        <v>292</v>
      </c>
      <c r="D197" s="3" t="s">
        <v>401</v>
      </c>
      <c r="E197" s="3" t="s">
        <v>778</v>
      </c>
      <c r="F197" s="3" t="s">
        <v>402</v>
      </c>
      <c r="G197" s="3" t="s">
        <v>884</v>
      </c>
      <c r="H197" s="3" t="s">
        <v>191</v>
      </c>
      <c r="I197" s="3" t="s">
        <v>192</v>
      </c>
      <c r="J197" s="3"/>
      <c r="K197" s="8" t="str">
        <f>IF(VLOOKUP(C197,'part c-100%'!$D$7:$E$157,1,0)=FALSE,"100%","100%")</f>
        <v>100%</v>
      </c>
      <c r="L197" t="str">
        <f>INDEX('part c-100%'!$AF$7:$AF$155,MATCH(kanban!C197,'part c-100%'!$D$7:$D$155,),)</f>
        <v>FINASI</v>
      </c>
      <c r="M197" s="56"/>
      <c r="N197" s="56"/>
    </row>
    <row r="198" spans="1:14" ht="25.5">
      <c r="A198" s="3" t="s">
        <v>288</v>
      </c>
      <c r="B198" s="3" t="s">
        <v>903</v>
      </c>
      <c r="C198" s="3" t="s">
        <v>721</v>
      </c>
      <c r="D198" s="3" t="s">
        <v>722</v>
      </c>
      <c r="E198" s="3" t="s">
        <v>778</v>
      </c>
      <c r="F198" s="3" t="s">
        <v>904</v>
      </c>
      <c r="G198" s="3" t="s">
        <v>884</v>
      </c>
      <c r="H198" s="3" t="s">
        <v>191</v>
      </c>
      <c r="I198" s="3" t="s">
        <v>192</v>
      </c>
      <c r="J198" s="3"/>
      <c r="K198" s="8" t="e">
        <f>IF(VLOOKUP(C198,'part c-100%'!$D$7:$E$157,1,0)=FALSE,"100%","100%")</f>
        <v>#N/A</v>
      </c>
      <c r="L198" t="e">
        <f>INDEX('part c-100%'!$AF$7:$AF$155,MATCH(kanban!C198,'part c-100%'!$D$7:$D$155,),)</f>
        <v>#N/A</v>
      </c>
      <c r="M198" s="56"/>
      <c r="N198" s="56"/>
    </row>
    <row r="199" spans="1:14" ht="15" customHeight="1">
      <c r="A199" s="3" t="s">
        <v>289</v>
      </c>
      <c r="B199" s="3" t="s">
        <v>905</v>
      </c>
      <c r="C199" s="3" t="s">
        <v>270</v>
      </c>
      <c r="D199" s="3" t="s">
        <v>271</v>
      </c>
      <c r="E199" s="3" t="s">
        <v>778</v>
      </c>
      <c r="F199" s="3" t="s">
        <v>217</v>
      </c>
      <c r="G199" s="3" t="s">
        <v>884</v>
      </c>
      <c r="H199" s="3" t="s">
        <v>191</v>
      </c>
      <c r="I199" s="3" t="s">
        <v>192</v>
      </c>
      <c r="J199" s="3"/>
      <c r="K199" s="8" t="e">
        <f>IF(VLOOKUP(C199,'part c-100%'!$D$7:$E$157,1,0)=FALSE,"100%","100%")</f>
        <v>#N/A</v>
      </c>
      <c r="L199" t="e">
        <f>INDEX('part c-100%'!$AF$7:$AF$155,MATCH(kanban!C199,'part c-100%'!$D$7:$D$155,),)</f>
        <v>#N/A</v>
      </c>
      <c r="M199" s="56"/>
      <c r="N199" s="56"/>
    </row>
    <row r="200" spans="1:14" ht="25.5">
      <c r="A200" s="3" t="s">
        <v>260</v>
      </c>
      <c r="B200" s="3" t="s">
        <v>906</v>
      </c>
      <c r="C200" s="3" t="s">
        <v>607</v>
      </c>
      <c r="D200" s="3" t="s">
        <v>608</v>
      </c>
      <c r="E200" s="3" t="s">
        <v>778</v>
      </c>
      <c r="F200" s="3" t="s">
        <v>907</v>
      </c>
      <c r="G200" s="3" t="s">
        <v>884</v>
      </c>
      <c r="H200" s="3" t="s">
        <v>191</v>
      </c>
      <c r="I200" s="3" t="s">
        <v>609</v>
      </c>
      <c r="J200" s="3"/>
      <c r="K200" s="8" t="e">
        <f>IF(VLOOKUP(C200,'part c-100%'!$D$7:$E$157,1,0)=FALSE,"100%","100%")</f>
        <v>#N/A</v>
      </c>
      <c r="L200" t="e">
        <f>INDEX('part c-100%'!$AF$7:$AF$155,MATCH(kanban!C200,'part c-100%'!$D$7:$D$155,),)</f>
        <v>#N/A</v>
      </c>
      <c r="M200" s="56"/>
      <c r="N200" s="56"/>
    </row>
    <row r="201" spans="1:14" ht="15" customHeight="1">
      <c r="A201" s="3" t="s">
        <v>290</v>
      </c>
      <c r="B201" s="3" t="s">
        <v>908</v>
      </c>
      <c r="C201" s="3" t="s">
        <v>909</v>
      </c>
      <c r="D201" s="3" t="s">
        <v>873</v>
      </c>
      <c r="E201" s="3" t="s">
        <v>778</v>
      </c>
      <c r="F201" s="3" t="s">
        <v>666</v>
      </c>
      <c r="G201" s="3" t="s">
        <v>884</v>
      </c>
      <c r="H201" s="3" t="s">
        <v>191</v>
      </c>
      <c r="I201" s="3" t="s">
        <v>208</v>
      </c>
      <c r="J201" s="3"/>
      <c r="K201" s="8" t="e">
        <f>IF(VLOOKUP(C201,'part c-100%'!$D$7:$E$157,1,0)=FALSE,"100%","100%")</f>
        <v>#N/A</v>
      </c>
      <c r="L201" t="e">
        <f>INDEX('part c-100%'!$AF$7:$AF$155,MATCH(kanban!C201,'part c-100%'!$D$7:$D$155,),)</f>
        <v>#N/A</v>
      </c>
      <c r="M201" s="56"/>
      <c r="N201" s="56"/>
    </row>
    <row r="202" spans="1:14" ht="25.5">
      <c r="A202" s="3" t="s">
        <v>417</v>
      </c>
      <c r="B202" s="3" t="s">
        <v>910</v>
      </c>
      <c r="C202" s="3" t="s">
        <v>658</v>
      </c>
      <c r="D202" s="3" t="s">
        <v>659</v>
      </c>
      <c r="E202" s="3" t="s">
        <v>780</v>
      </c>
      <c r="F202" s="3" t="s">
        <v>731</v>
      </c>
      <c r="G202" s="3" t="s">
        <v>884</v>
      </c>
      <c r="H202" s="3" t="s">
        <v>191</v>
      </c>
      <c r="I202" s="3" t="s">
        <v>192</v>
      </c>
      <c r="J202" s="3"/>
      <c r="K202" s="8" t="e">
        <f>IF(VLOOKUP(C202,'part c-100%'!$D$7:$E$157,1,0)=FALSE,"100%","100%")</f>
        <v>#N/A</v>
      </c>
      <c r="L202" t="e">
        <f>INDEX('part c-100%'!$AF$7:$AF$155,MATCH(kanban!C202,'part c-100%'!$D$7:$D$155,),)</f>
        <v>#N/A</v>
      </c>
      <c r="M202" s="56"/>
      <c r="N202" s="56"/>
    </row>
    <row r="203" spans="1:14" ht="25.5">
      <c r="A203" s="3" t="s">
        <v>313</v>
      </c>
      <c r="B203" s="3" t="s">
        <v>911</v>
      </c>
      <c r="C203" s="3" t="s">
        <v>517</v>
      </c>
      <c r="D203" s="3" t="s">
        <v>518</v>
      </c>
      <c r="E203" s="3" t="s">
        <v>780</v>
      </c>
      <c r="F203" s="3" t="s">
        <v>281</v>
      </c>
      <c r="G203" s="3" t="s">
        <v>884</v>
      </c>
      <c r="H203" s="3" t="s">
        <v>191</v>
      </c>
      <c r="I203" s="3" t="s">
        <v>192</v>
      </c>
      <c r="J203" s="3"/>
      <c r="K203" s="8" t="e">
        <f>IF(VLOOKUP(C203,'part c-100%'!$D$7:$E$157,1,0)=FALSE,"100%","100%")</f>
        <v>#N/A</v>
      </c>
      <c r="L203" t="e">
        <f>INDEX('part c-100%'!$AF$7:$AF$155,MATCH(kanban!C203,'part c-100%'!$D$7:$D$155,),)</f>
        <v>#N/A</v>
      </c>
      <c r="M203" s="56"/>
      <c r="N203" s="56"/>
    </row>
    <row r="204" spans="1:14" ht="25.5">
      <c r="A204" s="3" t="s">
        <v>646</v>
      </c>
      <c r="B204" s="3" t="s">
        <v>912</v>
      </c>
      <c r="C204" s="3" t="s">
        <v>663</v>
      </c>
      <c r="D204" s="3" t="s">
        <v>664</v>
      </c>
      <c r="E204" s="3" t="s">
        <v>738</v>
      </c>
      <c r="F204" s="3" t="s">
        <v>617</v>
      </c>
      <c r="G204" s="3" t="s">
        <v>884</v>
      </c>
      <c r="H204" s="3" t="s">
        <v>241</v>
      </c>
      <c r="I204" s="3" t="s">
        <v>242</v>
      </c>
      <c r="J204" s="3"/>
      <c r="K204" s="8" t="e">
        <f>IF(VLOOKUP(C204,'part c-100%'!$D$7:$E$157,1,0)=FALSE,"100%","100%")</f>
        <v>#N/A</v>
      </c>
      <c r="L204" t="e">
        <f>INDEX('part c-100%'!$AF$7:$AF$155,MATCH(kanban!C204,'part c-100%'!$D$7:$D$155,),)</f>
        <v>#N/A</v>
      </c>
      <c r="M204" s="56"/>
      <c r="N204" s="56"/>
    </row>
    <row r="205" spans="1:14" ht="25.5">
      <c r="A205" s="3" t="s">
        <v>647</v>
      </c>
      <c r="B205" s="3" t="s">
        <v>913</v>
      </c>
      <c r="C205" s="3" t="s">
        <v>284</v>
      </c>
      <c r="D205" s="3" t="s">
        <v>612</v>
      </c>
      <c r="E205" s="3" t="s">
        <v>738</v>
      </c>
      <c r="F205" s="3" t="s">
        <v>285</v>
      </c>
      <c r="G205" s="3" t="s">
        <v>884</v>
      </c>
      <c r="H205" s="3" t="s">
        <v>241</v>
      </c>
      <c r="I205" s="3" t="s">
        <v>242</v>
      </c>
      <c r="J205" s="3"/>
      <c r="K205" s="8" t="str">
        <f>IF(VLOOKUP(C205,'part c-100%'!$D$7:$E$157,1,0)=FALSE,"100%","100%")</f>
        <v>100%</v>
      </c>
      <c r="L205" t="str">
        <f>INDEX('part c-100%'!$AF$7:$AF$155,MATCH(kanban!C205,'part c-100%'!$D$7:$D$155,),)</f>
        <v>BAHAR</v>
      </c>
      <c r="M205" s="56"/>
      <c r="N205" s="56"/>
    </row>
    <row r="206" spans="1:14" ht="25.5">
      <c r="A206" s="3" t="s">
        <v>694</v>
      </c>
      <c r="B206" s="3" t="s">
        <v>914</v>
      </c>
      <c r="C206" s="3" t="s">
        <v>627</v>
      </c>
      <c r="D206" s="3" t="s">
        <v>628</v>
      </c>
      <c r="E206" s="3" t="s">
        <v>738</v>
      </c>
      <c r="F206" s="3" t="s">
        <v>614</v>
      </c>
      <c r="G206" s="3" t="s">
        <v>884</v>
      </c>
      <c r="H206" s="3" t="s">
        <v>241</v>
      </c>
      <c r="I206" s="3" t="s">
        <v>242</v>
      </c>
      <c r="J206" s="3"/>
      <c r="K206" s="8" t="e">
        <f>IF(VLOOKUP(C206,'part c-100%'!$D$7:$E$157,1,0)=FALSE,"100%","100%")</f>
        <v>#N/A</v>
      </c>
      <c r="L206" t="e">
        <f>INDEX('part c-100%'!$AF$7:$AF$155,MATCH(kanban!C206,'part c-100%'!$D$7:$D$155,),)</f>
        <v>#N/A</v>
      </c>
      <c r="M206" s="56"/>
      <c r="N206" s="56"/>
    </row>
    <row r="207" spans="1:14" ht="25.5">
      <c r="A207" s="3" t="s">
        <v>695</v>
      </c>
      <c r="B207" s="3" t="s">
        <v>915</v>
      </c>
      <c r="C207" s="3" t="s">
        <v>916</v>
      </c>
      <c r="D207" s="3" t="s">
        <v>917</v>
      </c>
      <c r="E207" s="3" t="s">
        <v>738</v>
      </c>
      <c r="F207" s="3" t="s">
        <v>211</v>
      </c>
      <c r="G207" s="3" t="s">
        <v>884</v>
      </c>
      <c r="H207" s="3" t="s">
        <v>241</v>
      </c>
      <c r="I207" s="3" t="s">
        <v>242</v>
      </c>
      <c r="J207" s="3"/>
      <c r="K207" s="8" t="e">
        <f>IF(VLOOKUP(C207,'part c-100%'!$D$7:$E$157,1,0)=FALSE,"100%","100%")</f>
        <v>#N/A</v>
      </c>
      <c r="L207" t="e">
        <f>INDEX('part c-100%'!$AF$7:$AF$155,MATCH(kanban!C207,'part c-100%'!$D$7:$D$155,),)</f>
        <v>#N/A</v>
      </c>
      <c r="M207" s="56"/>
      <c r="N207" s="56"/>
    </row>
    <row r="208" spans="1:14" ht="25.5">
      <c r="A208" s="3" t="s">
        <v>696</v>
      </c>
      <c r="B208" s="3" t="s">
        <v>918</v>
      </c>
      <c r="C208" s="3" t="s">
        <v>660</v>
      </c>
      <c r="D208" s="3" t="s">
        <v>661</v>
      </c>
      <c r="E208" s="3" t="s">
        <v>738</v>
      </c>
      <c r="F208" s="3" t="s">
        <v>731</v>
      </c>
      <c r="G208" s="3" t="s">
        <v>884</v>
      </c>
      <c r="H208" s="3" t="s">
        <v>241</v>
      </c>
      <c r="I208" s="3" t="s">
        <v>242</v>
      </c>
      <c r="J208" s="3"/>
      <c r="K208" s="8" t="e">
        <f>IF(VLOOKUP(C208,'part c-100%'!$D$7:$E$157,1,0)=FALSE,"100%","100%")</f>
        <v>#N/A</v>
      </c>
      <c r="L208" t="e">
        <f>INDEX('part c-100%'!$AF$7:$AF$155,MATCH(kanban!C208,'part c-100%'!$D$7:$D$155,),)</f>
        <v>#N/A</v>
      </c>
      <c r="M208" s="56"/>
      <c r="N208" s="56"/>
    </row>
    <row r="209" spans="1:14" ht="25.5">
      <c r="A209" s="3" t="s">
        <v>697</v>
      </c>
      <c r="B209" s="3" t="s">
        <v>919</v>
      </c>
      <c r="C209" s="3" t="s">
        <v>528</v>
      </c>
      <c r="D209" s="3" t="s">
        <v>529</v>
      </c>
      <c r="E209" s="3" t="s">
        <v>738</v>
      </c>
      <c r="F209" s="3" t="s">
        <v>731</v>
      </c>
      <c r="G209" s="3" t="s">
        <v>884</v>
      </c>
      <c r="H209" s="3" t="s">
        <v>241</v>
      </c>
      <c r="I209" s="3" t="s">
        <v>242</v>
      </c>
      <c r="J209" s="3"/>
      <c r="K209" s="8" t="e">
        <f>IF(VLOOKUP(C209,'part c-100%'!$D$7:$E$157,1,0)=FALSE,"100%","100%")</f>
        <v>#N/A</v>
      </c>
      <c r="L209" t="e">
        <f>INDEX('part c-100%'!$AF$7:$AF$155,MATCH(kanban!C209,'part c-100%'!$D$7:$D$155,),)</f>
        <v>#N/A</v>
      </c>
      <c r="M209" s="56"/>
      <c r="N209" s="56"/>
    </row>
    <row r="210" spans="1:14" ht="25.5">
      <c r="A210" s="3" t="s">
        <v>698</v>
      </c>
      <c r="B210" s="3" t="s">
        <v>920</v>
      </c>
      <c r="C210" s="3" t="s">
        <v>278</v>
      </c>
      <c r="D210" s="3" t="s">
        <v>279</v>
      </c>
      <c r="E210" s="3" t="s">
        <v>738</v>
      </c>
      <c r="F210" s="3" t="s">
        <v>662</v>
      </c>
      <c r="G210" s="3" t="s">
        <v>884</v>
      </c>
      <c r="H210" s="3" t="s">
        <v>241</v>
      </c>
      <c r="I210" s="3" t="s">
        <v>242</v>
      </c>
      <c r="J210" s="3"/>
      <c r="K210" s="8" t="str">
        <f>IF(VLOOKUP(C210,'part c-100%'!$D$7:$E$157,1,0)=FALSE,"100%","100%")</f>
        <v>100%</v>
      </c>
      <c r="L210" t="str">
        <f>INDEX('part c-100%'!$AF$7:$AF$155,MATCH(kanban!C210,'part c-100%'!$D$7:$D$155,),)</f>
        <v>WULAN</v>
      </c>
      <c r="M210" s="56"/>
      <c r="N210" s="56"/>
    </row>
    <row r="211" spans="1:14" ht="25.5">
      <c r="A211" s="3" t="s">
        <v>699</v>
      </c>
      <c r="B211" s="3" t="s">
        <v>921</v>
      </c>
      <c r="C211" s="3" t="s">
        <v>275</v>
      </c>
      <c r="D211" s="3" t="s">
        <v>276</v>
      </c>
      <c r="E211" s="3" t="s">
        <v>738</v>
      </c>
      <c r="F211" s="3" t="s">
        <v>197</v>
      </c>
      <c r="G211" s="3" t="s">
        <v>884</v>
      </c>
      <c r="H211" s="3" t="s">
        <v>241</v>
      </c>
      <c r="I211" s="3" t="s">
        <v>242</v>
      </c>
      <c r="J211" s="3"/>
      <c r="K211" s="8" t="str">
        <f>IF(VLOOKUP(C211,'part c-100%'!$D$7:$E$157,1,0)=FALSE,"100%","100%")</f>
        <v>100%</v>
      </c>
      <c r="L211" t="str">
        <f>INDEX('part c-100%'!$AF$7:$AF$155,MATCH(kanban!C211,'part c-100%'!$D$7:$D$155,),)</f>
        <v>FINASI</v>
      </c>
      <c r="M211" s="56"/>
      <c r="N211" s="56"/>
    </row>
    <row r="212" spans="1:14" ht="25.5">
      <c r="A212" s="3" t="s">
        <v>700</v>
      </c>
      <c r="B212" s="3" t="s">
        <v>922</v>
      </c>
      <c r="C212" s="3" t="s">
        <v>195</v>
      </c>
      <c r="D212" s="3" t="s">
        <v>196</v>
      </c>
      <c r="E212" s="3" t="s">
        <v>738</v>
      </c>
      <c r="F212" s="3" t="s">
        <v>726</v>
      </c>
      <c r="G212" s="3" t="s">
        <v>884</v>
      </c>
      <c r="H212" s="3" t="s">
        <v>241</v>
      </c>
      <c r="I212" s="3" t="s">
        <v>242</v>
      </c>
      <c r="J212" s="3"/>
      <c r="K212" s="8" t="str">
        <f>IF(VLOOKUP(C212,'part c-100%'!$D$7:$E$157,1,0)=FALSE,"100%","100%")</f>
        <v>100%</v>
      </c>
      <c r="L212" t="str">
        <f>INDEX('part c-100%'!$AF$7:$AF$155,MATCH(kanban!C212,'part c-100%'!$D$7:$D$155,),)</f>
        <v>FIKRI</v>
      </c>
      <c r="M212" s="56"/>
      <c r="N212" s="56"/>
    </row>
    <row r="213" spans="1:14" ht="25.5">
      <c r="A213" s="3" t="s">
        <v>923</v>
      </c>
      <c r="B213" s="3" t="s">
        <v>924</v>
      </c>
      <c r="C213" s="3" t="s">
        <v>243</v>
      </c>
      <c r="D213" s="3" t="s">
        <v>380</v>
      </c>
      <c r="E213" s="3" t="s">
        <v>814</v>
      </c>
      <c r="F213" s="3" t="s">
        <v>723</v>
      </c>
      <c r="G213" s="3" t="s">
        <v>884</v>
      </c>
      <c r="H213" s="3" t="s">
        <v>241</v>
      </c>
      <c r="I213" s="3" t="s">
        <v>244</v>
      </c>
      <c r="J213" s="3"/>
      <c r="K213" s="8" t="str">
        <f>IF(VLOOKUP(C213,'part c-100%'!$D$7:$E$157,1,0)=FALSE,"100%","100%")</f>
        <v>100%</v>
      </c>
      <c r="L213" t="str">
        <f>INDEX('part c-100%'!$AF$7:$AF$155,MATCH(kanban!C213,'part c-100%'!$D$7:$D$155,),)</f>
        <v>BAHAR</v>
      </c>
      <c r="M213" s="56"/>
      <c r="N213" s="56"/>
    </row>
    <row r="214" spans="1:14" ht="25.5">
      <c r="A214" s="3" t="s">
        <v>925</v>
      </c>
      <c r="B214" s="3" t="s">
        <v>926</v>
      </c>
      <c r="C214" s="3" t="s">
        <v>273</v>
      </c>
      <c r="D214" s="3" t="s">
        <v>274</v>
      </c>
      <c r="E214" s="3" t="s">
        <v>814</v>
      </c>
      <c r="F214" s="3" t="s">
        <v>440</v>
      </c>
      <c r="G214" s="3" t="s">
        <v>884</v>
      </c>
      <c r="H214" s="3" t="s">
        <v>241</v>
      </c>
      <c r="I214" s="3" t="s">
        <v>242</v>
      </c>
      <c r="J214" s="3"/>
      <c r="K214" s="8" t="e">
        <f>IF(VLOOKUP(C214,'part c-100%'!$D$7:$E$157,1,0)=FALSE,"100%","100%")</f>
        <v>#N/A</v>
      </c>
      <c r="L214" t="e">
        <f>INDEX('part c-100%'!$AF$7:$AF$155,MATCH(kanban!C214,'part c-100%'!$D$7:$D$155,),)</f>
        <v>#N/A</v>
      </c>
      <c r="M214" s="56"/>
      <c r="N214" s="56"/>
    </row>
    <row r="215" spans="1:14">
      <c r="A215" s="57"/>
      <c r="B215" s="57"/>
      <c r="C215" s="57"/>
      <c r="D215" s="57"/>
      <c r="E215" s="57"/>
      <c r="F215" s="57"/>
      <c r="G215" s="57">
        <f>SUBTOTAL(3,G181:G214)</f>
        <v>28</v>
      </c>
      <c r="H215" s="57"/>
      <c r="I215" s="57"/>
      <c r="J215" s="57"/>
      <c r="K215" s="8" t="e">
        <f>IF(VLOOKUP(C215,'part c-100%'!$D$7:$E$157,1,0)=FALSE,"100%","100%")</f>
        <v>#N/A</v>
      </c>
      <c r="L215" t="e">
        <f>INDEX('part c-100%'!$AF$7:$AF$155,MATCH(kanban!C215,'part c-100%'!$D$7:$D$155,),)</f>
        <v>#N/A</v>
      </c>
      <c r="M215" s="56"/>
      <c r="N215" s="56"/>
    </row>
    <row r="216" spans="1:14">
      <c r="A216" s="57"/>
      <c r="B216" s="57"/>
      <c r="C216" s="57"/>
      <c r="D216" s="57"/>
      <c r="E216" s="57"/>
      <c r="F216" s="57"/>
      <c r="G216" s="57">
        <f>SUBTOTAL(3,G6:G214)</f>
        <v>196</v>
      </c>
      <c r="H216" s="57"/>
      <c r="I216" s="57"/>
      <c r="J216" s="57"/>
      <c r="K216" s="8" t="e">
        <f>IF(VLOOKUP(C216,'part c-100%'!$D$7:$E$157,1,0)=FALSE,"100%","100%")</f>
        <v>#N/A</v>
      </c>
      <c r="L216" t="e">
        <f>INDEX('part c-100%'!$AF$7:$AF$155,MATCH(kanban!C216,'part c-100%'!$D$7:$D$155,),)</f>
        <v>#N/A</v>
      </c>
      <c r="M216" s="56"/>
      <c r="N216" s="56"/>
    </row>
    <row r="217" spans="1:14">
      <c r="K217" s="8" t="e">
        <f>IF(VLOOKUP(C217,'part c-100%'!$D$7:$E$157,1,0)=FALSE,"100%","100%")</f>
        <v>#N/A</v>
      </c>
      <c r="L217" t="e">
        <f>INDEX('part c-100%'!$AF$7:$AF$155,MATCH(kanban!C217,'part c-100%'!$D$7:$D$155,),)</f>
        <v>#N/A</v>
      </c>
    </row>
    <row r="218" spans="1:14">
      <c r="K218" s="8" t="e">
        <f>IF(VLOOKUP(C218,'part c-100%'!$D$7:$E$157,1,0)=FALSE,"100%","100%")</f>
        <v>#N/A</v>
      </c>
      <c r="L218" t="e">
        <f>INDEX('part c-100%'!$AF$7:$AF$155,MATCH(kanban!C218,'part c-100%'!$D$7:$D$155,),)</f>
        <v>#N/A</v>
      </c>
    </row>
    <row r="219" spans="1:14" ht="15" customHeight="1">
      <c r="K219" s="8" t="e">
        <f>IF(VLOOKUP(C219,'part c-100%'!$D$7:$E$157,1,0)=FALSE,"100%","100%")</f>
        <v>#N/A</v>
      </c>
      <c r="L219" t="e">
        <f>INDEX('part c-100%'!$AF$7:$AF$155,MATCH(kanban!C219,'part c-100%'!$D$7:$D$155,),)</f>
        <v>#N/A</v>
      </c>
    </row>
    <row r="220" spans="1:14">
      <c r="K220" s="8" t="e">
        <f>IF(VLOOKUP(C220,'part c-100%'!$D$7:$E$157,1,0)=FALSE,"100%","100%")</f>
        <v>#N/A</v>
      </c>
      <c r="L220" t="e">
        <f>INDEX('part c-100%'!$AF$7:$AF$155,MATCH(kanban!C220,'part c-100%'!$D$7:$D$155,),)</f>
        <v>#N/A</v>
      </c>
    </row>
    <row r="221" spans="1:14" ht="15" customHeight="1">
      <c r="K221" s="8" t="e">
        <f>IF(VLOOKUP(C221,'part c-100%'!$D$7:$E$157,1,0)=FALSE,"100%","100%")</f>
        <v>#N/A</v>
      </c>
      <c r="L221" t="e">
        <f>INDEX('part c-100%'!$AF$7:$AF$155,MATCH(kanban!C221,'part c-100%'!$D$7:$D$155,),)</f>
        <v>#N/A</v>
      </c>
    </row>
    <row r="222" spans="1:14" ht="15" customHeight="1">
      <c r="K222" s="8" t="e">
        <f>IF(VLOOKUP(C222,'part c-100%'!$D$7:$E$157,1,0)=FALSE,"100%","100%")</f>
        <v>#N/A</v>
      </c>
      <c r="L222" t="e">
        <f>INDEX('part c-100%'!$AF$7:$AF$155,MATCH(kanban!C222,'part c-100%'!$D$7:$D$155,),)</f>
        <v>#N/A</v>
      </c>
    </row>
    <row r="223" spans="1:14">
      <c r="K223" s="8" t="e">
        <f>IF(VLOOKUP(C223,'part c-100%'!$D$7:$E$157,1,0)=FALSE,"100%","100%")</f>
        <v>#N/A</v>
      </c>
      <c r="L223" t="e">
        <f>INDEX('part c-100%'!$AF$7:$AF$155,MATCH(kanban!C223,'part c-100%'!$D$7:$D$155,),)</f>
        <v>#N/A</v>
      </c>
    </row>
    <row r="224" spans="1:14" ht="15" customHeight="1">
      <c r="K224" s="8" t="e">
        <f>IF(VLOOKUP(C224,'part c-100%'!$D$7:$E$157,1,0)=FALSE,"100%","100%")</f>
        <v>#N/A</v>
      </c>
      <c r="L224" t="e">
        <f>INDEX('part c-100%'!$AF$7:$AF$155,MATCH(kanban!C224,'part c-100%'!$D$7:$D$155,),)</f>
        <v>#N/A</v>
      </c>
    </row>
    <row r="225" spans="11:12">
      <c r="K225" s="8" t="e">
        <f>IF(VLOOKUP(C225,'part c-100%'!$D$7:$E$157,1,0)=FALSE,"100%","100%")</f>
        <v>#N/A</v>
      </c>
      <c r="L225" t="e">
        <f>INDEX('part c-100%'!$AF$7:$AF$155,MATCH(kanban!C225,'part c-100%'!$D$7:$D$155,),)</f>
        <v>#N/A</v>
      </c>
    </row>
    <row r="226" spans="11:12">
      <c r="K226" s="8" t="e">
        <f>IF(VLOOKUP(C226,'part c-100%'!$D$7:$E$157,1,0)=FALSE,"100%","100%")</f>
        <v>#N/A</v>
      </c>
      <c r="L226" t="e">
        <f>INDEX('part c-100%'!$AF$7:$AF$155,MATCH(kanban!C226,'part c-100%'!$D$7:$D$155,),)</f>
        <v>#N/A</v>
      </c>
    </row>
    <row r="227" spans="11:12">
      <c r="K227"/>
    </row>
    <row r="228" spans="11:12">
      <c r="K228"/>
    </row>
    <row r="229" spans="11:12">
      <c r="K229"/>
    </row>
    <row r="230" spans="11:12" ht="15" customHeight="1">
      <c r="K230"/>
    </row>
    <row r="231" spans="11:12" ht="15" customHeight="1">
      <c r="K231"/>
    </row>
    <row r="232" spans="11:12" ht="15" customHeight="1">
      <c r="K232"/>
    </row>
    <row r="233" spans="11:12" ht="15" customHeight="1">
      <c r="K233"/>
    </row>
    <row r="234" spans="11:12">
      <c r="K234"/>
    </row>
    <row r="235" spans="11:12">
      <c r="K235"/>
    </row>
    <row r="236" spans="11:12">
      <c r="K236"/>
    </row>
    <row r="237" spans="11:12">
      <c r="K237"/>
    </row>
    <row r="238" spans="11:12">
      <c r="K238"/>
    </row>
    <row r="239" spans="11:12">
      <c r="K239"/>
    </row>
    <row r="240" spans="11:12">
      <c r="K240"/>
    </row>
    <row r="241" spans="11:11">
      <c r="K241"/>
    </row>
    <row r="242" spans="11:11">
      <c r="K242"/>
    </row>
    <row r="243" spans="11:11">
      <c r="K243"/>
    </row>
    <row r="244" spans="11:11">
      <c r="K244"/>
    </row>
    <row r="245" spans="11:11">
      <c r="K245"/>
    </row>
    <row r="246" spans="11:11">
      <c r="K246"/>
    </row>
    <row r="247" spans="11:11">
      <c r="K247"/>
    </row>
    <row r="248" spans="11:11">
      <c r="K248"/>
    </row>
    <row r="249" spans="11:11">
      <c r="K249"/>
    </row>
    <row r="250" spans="11:11">
      <c r="K250"/>
    </row>
    <row r="251" spans="11:11">
      <c r="K251"/>
    </row>
    <row r="252" spans="11:11">
      <c r="K252"/>
    </row>
    <row r="253" spans="11:11">
      <c r="K253"/>
    </row>
    <row r="254" spans="11:11">
      <c r="K254"/>
    </row>
    <row r="255" spans="11:11">
      <c r="K255"/>
    </row>
    <row r="256" spans="11:11">
      <c r="K256"/>
    </row>
    <row r="257" spans="11:11">
      <c r="K257"/>
    </row>
    <row r="258" spans="11:11">
      <c r="K258"/>
    </row>
    <row r="259" spans="11:11">
      <c r="K259"/>
    </row>
    <row r="260" spans="11:11">
      <c r="K260"/>
    </row>
    <row r="261" spans="11:11">
      <c r="K261"/>
    </row>
    <row r="262" spans="11:11">
      <c r="K262"/>
    </row>
    <row r="263" spans="11:11">
      <c r="K263"/>
    </row>
    <row r="264" spans="11:11">
      <c r="K264"/>
    </row>
    <row r="265" spans="11:11">
      <c r="K265"/>
    </row>
    <row r="266" spans="11:11">
      <c r="K266"/>
    </row>
  </sheetData>
  <autoFilter ref="A5:L227" xr:uid="{00000000-0009-0000-0000-000000000000}"/>
  <mergeCells count="7">
    <mergeCell ref="A194:J194"/>
    <mergeCell ref="A195:J195"/>
    <mergeCell ref="A4:F4"/>
    <mergeCell ref="A2:J2"/>
    <mergeCell ref="A3:J3"/>
    <mergeCell ref="A192:J192"/>
    <mergeCell ref="A193:J193"/>
  </mergeCells>
  <phoneticPr fontId="3" type="noConversion"/>
  <printOptions horizontalCentered="1"/>
  <pageMargins left="0" right="0" top="0" bottom="0" header="0" footer="0"/>
  <pageSetup paperSize="9" scale="62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  <pageSetUpPr fitToPage="1"/>
  </sheetPr>
  <dimension ref="A1:AU155"/>
  <sheetViews>
    <sheetView showGridLines="0" zoomScale="85" zoomScaleNormal="85" workbookViewId="0">
      <pane ySplit="6" topLeftCell="A7" activePane="bottomLeft" state="frozen"/>
      <selection activeCell="E82" sqref="E82"/>
      <selection pane="bottomLeft" activeCell="D150" sqref="D150"/>
    </sheetView>
  </sheetViews>
  <sheetFormatPr defaultColWidth="8.7109375" defaultRowHeight="14.25"/>
  <cols>
    <col min="1" max="1" width="4.42578125" style="5" customWidth="1"/>
    <col min="2" max="2" width="13.28515625" style="10" bestFit="1" customWidth="1"/>
    <col min="3" max="3" width="44.42578125" style="5" customWidth="1"/>
    <col min="4" max="4" width="14.7109375" style="6" bestFit="1" customWidth="1"/>
    <col min="5" max="5" width="15.85546875" style="5" bestFit="1" customWidth="1"/>
    <col min="6" max="31" width="4.42578125" style="5" hidden="1" customWidth="1"/>
    <col min="32" max="32" width="14.85546875" style="5" customWidth="1"/>
    <col min="33" max="34" width="4.42578125" style="5" customWidth="1"/>
    <col min="35" max="38" width="4.5703125" style="5" customWidth="1"/>
    <col min="39" max="16384" width="8.7109375" style="5"/>
  </cols>
  <sheetData>
    <row r="1" spans="1:47" ht="15">
      <c r="A1" s="4" t="s">
        <v>139</v>
      </c>
      <c r="B1" s="9"/>
    </row>
    <row r="2" spans="1:47">
      <c r="A2" s="5" t="s">
        <v>140</v>
      </c>
    </row>
    <row r="4" spans="1:47">
      <c r="A4" s="66" t="s">
        <v>144</v>
      </c>
      <c r="B4" s="66"/>
      <c r="C4" s="66"/>
      <c r="D4" s="66"/>
      <c r="E4" s="66"/>
    </row>
    <row r="5" spans="1:47" s="7" customFormat="1">
      <c r="A5" s="66"/>
      <c r="B5" s="66"/>
      <c r="C5" s="66"/>
      <c r="D5" s="66"/>
      <c r="E5" s="66"/>
    </row>
    <row r="6" spans="1:47" s="7" customFormat="1" ht="15">
      <c r="A6" s="11" t="s">
        <v>0</v>
      </c>
      <c r="B6" s="12" t="s">
        <v>3</v>
      </c>
      <c r="C6" s="11" t="s">
        <v>1</v>
      </c>
      <c r="D6" s="13" t="s">
        <v>2</v>
      </c>
      <c r="E6" s="14" t="s">
        <v>149</v>
      </c>
      <c r="F6" s="22">
        <v>1</v>
      </c>
      <c r="G6" s="22">
        <v>2</v>
      </c>
      <c r="H6" s="22">
        <v>3</v>
      </c>
      <c r="I6" s="22">
        <v>4</v>
      </c>
      <c r="J6" s="22">
        <v>5</v>
      </c>
      <c r="K6" s="22">
        <v>6</v>
      </c>
      <c r="L6" s="22">
        <v>7</v>
      </c>
      <c r="M6" s="22">
        <v>8</v>
      </c>
      <c r="N6" s="22">
        <v>9</v>
      </c>
      <c r="O6" s="22">
        <v>10</v>
      </c>
      <c r="P6" s="22">
        <v>11</v>
      </c>
      <c r="Q6" s="22">
        <v>12</v>
      </c>
      <c r="R6" s="22">
        <v>13</v>
      </c>
      <c r="S6" s="22">
        <v>14</v>
      </c>
      <c r="T6" s="22">
        <v>15</v>
      </c>
      <c r="U6" s="22">
        <v>16</v>
      </c>
      <c r="V6" s="22">
        <v>17</v>
      </c>
      <c r="W6" s="22">
        <v>18</v>
      </c>
      <c r="X6" s="22">
        <v>19</v>
      </c>
      <c r="Y6" s="22">
        <v>20</v>
      </c>
      <c r="Z6" s="22">
        <v>21</v>
      </c>
      <c r="AA6" s="22">
        <v>22</v>
      </c>
      <c r="AB6" s="22">
        <v>23</v>
      </c>
      <c r="AC6" s="22">
        <v>24</v>
      </c>
      <c r="AD6" s="22">
        <v>25</v>
      </c>
      <c r="AE6" s="22">
        <v>26</v>
      </c>
      <c r="AF6" s="53" t="s">
        <v>441</v>
      </c>
      <c r="AG6" s="22">
        <v>27</v>
      </c>
      <c r="AH6" s="32">
        <v>28</v>
      </c>
      <c r="AI6" s="22">
        <v>29</v>
      </c>
      <c r="AJ6" s="22">
        <v>30</v>
      </c>
      <c r="AK6" s="22">
        <v>1</v>
      </c>
      <c r="AL6" s="22">
        <v>2</v>
      </c>
      <c r="AM6" s="22">
        <v>3</v>
      </c>
      <c r="AN6" s="22">
        <v>4</v>
      </c>
      <c r="AO6" s="22">
        <v>6</v>
      </c>
      <c r="AP6" s="22">
        <v>7</v>
      </c>
      <c r="AQ6" s="22">
        <v>8</v>
      </c>
      <c r="AR6" s="22">
        <v>9</v>
      </c>
      <c r="AS6" s="22">
        <v>10</v>
      </c>
      <c r="AT6" s="22">
        <v>11</v>
      </c>
      <c r="AU6" s="22">
        <v>13</v>
      </c>
    </row>
    <row r="7" spans="1:47" s="7" customFormat="1">
      <c r="A7" s="15">
        <v>1</v>
      </c>
      <c r="B7" s="16" t="s">
        <v>128</v>
      </c>
      <c r="C7" s="17" t="s">
        <v>21</v>
      </c>
      <c r="D7" s="19" t="s">
        <v>359</v>
      </c>
      <c r="E7" s="15" t="s">
        <v>166</v>
      </c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 t="s">
        <v>445</v>
      </c>
      <c r="AG7" s="22"/>
      <c r="AH7" s="32"/>
      <c r="AI7" s="22"/>
      <c r="AJ7" s="22"/>
      <c r="AK7" s="22"/>
      <c r="AL7" s="22"/>
      <c r="AM7" s="39"/>
      <c r="AN7" s="22"/>
      <c r="AO7" s="22"/>
      <c r="AP7" s="22"/>
      <c r="AQ7" s="22"/>
      <c r="AR7" s="22"/>
      <c r="AS7" s="22"/>
      <c r="AT7" s="22"/>
      <c r="AU7" s="22"/>
    </row>
    <row r="8" spans="1:47" s="7" customFormat="1">
      <c r="A8" s="15">
        <v>2</v>
      </c>
      <c r="B8" s="16" t="s">
        <v>128</v>
      </c>
      <c r="C8" s="17" t="s">
        <v>22</v>
      </c>
      <c r="D8" s="19" t="s">
        <v>349</v>
      </c>
      <c r="E8" s="15" t="s">
        <v>166</v>
      </c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 t="s">
        <v>444</v>
      </c>
      <c r="AG8" s="22"/>
      <c r="AH8" s="32"/>
      <c r="AI8" s="22" t="s">
        <v>325</v>
      </c>
      <c r="AJ8" s="22"/>
      <c r="AK8" s="22"/>
      <c r="AL8" s="22" t="s">
        <v>324</v>
      </c>
      <c r="AM8" s="39"/>
      <c r="AN8" s="22"/>
      <c r="AO8" s="22"/>
      <c r="AP8" s="22" t="s">
        <v>325</v>
      </c>
      <c r="AQ8" s="22"/>
      <c r="AR8" s="22"/>
      <c r="AS8" s="22"/>
      <c r="AT8" s="22"/>
      <c r="AU8" s="22"/>
    </row>
    <row r="9" spans="1:47">
      <c r="A9" s="15">
        <v>3</v>
      </c>
      <c r="B9" s="16" t="s">
        <v>128</v>
      </c>
      <c r="C9" s="17" t="s">
        <v>196</v>
      </c>
      <c r="D9" s="19" t="s">
        <v>195</v>
      </c>
      <c r="E9" s="15" t="s">
        <v>167</v>
      </c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 t="s">
        <v>446</v>
      </c>
      <c r="AG9" s="24"/>
      <c r="AH9" s="33"/>
      <c r="AI9" s="24"/>
      <c r="AJ9" s="24"/>
      <c r="AK9" s="36" t="s">
        <v>324</v>
      </c>
      <c r="AL9" s="24" t="s">
        <v>324</v>
      </c>
      <c r="AM9" s="40" t="s">
        <v>324</v>
      </c>
      <c r="AN9" s="24"/>
      <c r="AO9" s="24" t="s">
        <v>324</v>
      </c>
      <c r="AP9" s="24" t="s">
        <v>323</v>
      </c>
      <c r="AQ9" s="24"/>
      <c r="AR9" s="36" t="s">
        <v>324</v>
      </c>
      <c r="AS9" s="24" t="s">
        <v>325</v>
      </c>
      <c r="AT9" s="24"/>
      <c r="AU9" s="24" t="s">
        <v>324</v>
      </c>
    </row>
    <row r="10" spans="1:47">
      <c r="A10" s="15">
        <v>4</v>
      </c>
      <c r="B10" s="16" t="s">
        <v>128</v>
      </c>
      <c r="C10" s="17" t="s">
        <v>30</v>
      </c>
      <c r="D10" s="19" t="s">
        <v>251</v>
      </c>
      <c r="E10" s="15" t="s">
        <v>168</v>
      </c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 t="s">
        <v>447</v>
      </c>
      <c r="AG10" s="24"/>
      <c r="AH10" s="33"/>
      <c r="AI10" s="24" t="s">
        <v>324</v>
      </c>
      <c r="AJ10" s="24" t="s">
        <v>324</v>
      </c>
      <c r="AK10" s="24" t="s">
        <v>324</v>
      </c>
      <c r="AL10" s="24" t="s">
        <v>324</v>
      </c>
      <c r="AM10" s="40" t="s">
        <v>324</v>
      </c>
      <c r="AN10" s="24"/>
      <c r="AO10" s="24" t="s">
        <v>324</v>
      </c>
      <c r="AP10" s="24" t="s">
        <v>325</v>
      </c>
      <c r="AQ10" s="24"/>
      <c r="AR10" s="36"/>
      <c r="AS10" s="24" t="s">
        <v>325</v>
      </c>
      <c r="AT10" s="24"/>
      <c r="AU10" s="24" t="s">
        <v>324</v>
      </c>
    </row>
    <row r="11" spans="1:47">
      <c r="A11" s="15">
        <v>5</v>
      </c>
      <c r="B11" s="16" t="s">
        <v>128</v>
      </c>
      <c r="C11" s="20" t="s">
        <v>32</v>
      </c>
      <c r="D11" s="19" t="s">
        <v>255</v>
      </c>
      <c r="E11" s="15" t="s">
        <v>168</v>
      </c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 t="s">
        <v>447</v>
      </c>
      <c r="AG11" s="24"/>
      <c r="AH11" s="33"/>
      <c r="AI11" s="24" t="s">
        <v>324</v>
      </c>
      <c r="AJ11" s="24" t="s">
        <v>324</v>
      </c>
      <c r="AK11" s="24" t="s">
        <v>324</v>
      </c>
      <c r="AL11" s="24" t="s">
        <v>324</v>
      </c>
      <c r="AM11" s="40" t="s">
        <v>324</v>
      </c>
      <c r="AN11" s="24"/>
      <c r="AO11" s="24" t="s">
        <v>324</v>
      </c>
      <c r="AP11" s="24" t="s">
        <v>325</v>
      </c>
      <c r="AQ11" s="24"/>
      <c r="AR11" s="36"/>
      <c r="AS11" s="24" t="s">
        <v>324</v>
      </c>
      <c r="AT11" s="24"/>
      <c r="AU11" s="24" t="s">
        <v>324</v>
      </c>
    </row>
    <row r="12" spans="1:47">
      <c r="A12" s="15">
        <v>6</v>
      </c>
      <c r="B12" s="16" t="s">
        <v>128</v>
      </c>
      <c r="C12" s="17" t="s">
        <v>20</v>
      </c>
      <c r="D12" s="19" t="s">
        <v>350</v>
      </c>
      <c r="E12" s="15" t="s">
        <v>166</v>
      </c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 t="s">
        <v>444</v>
      </c>
      <c r="AG12" s="24"/>
      <c r="AH12" s="33"/>
      <c r="AI12" s="24" t="s">
        <v>323</v>
      </c>
      <c r="AJ12" s="24" t="s">
        <v>323</v>
      </c>
      <c r="AK12" s="24" t="s">
        <v>324</v>
      </c>
      <c r="AL12" s="24"/>
      <c r="AM12" s="40"/>
      <c r="AN12" s="24"/>
      <c r="AO12" s="24" t="s">
        <v>324</v>
      </c>
      <c r="AP12" s="24"/>
      <c r="AQ12" s="24"/>
      <c r="AR12" s="36"/>
      <c r="AS12" s="24"/>
      <c r="AT12" s="24"/>
      <c r="AU12" s="24" t="s">
        <v>324</v>
      </c>
    </row>
    <row r="13" spans="1:47">
      <c r="A13" s="15">
        <v>7</v>
      </c>
      <c r="B13" s="16" t="s">
        <v>128</v>
      </c>
      <c r="C13" s="17" t="s">
        <v>28</v>
      </c>
      <c r="D13" s="19" t="s">
        <v>358</v>
      </c>
      <c r="E13" s="15" t="s">
        <v>166</v>
      </c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 t="s">
        <v>444</v>
      </c>
      <c r="AG13" s="24"/>
      <c r="AH13" s="33"/>
      <c r="AI13" s="24"/>
      <c r="AJ13" s="24" t="s">
        <v>323</v>
      </c>
      <c r="AK13" s="24"/>
      <c r="AL13" s="24"/>
      <c r="AM13" s="40"/>
      <c r="AN13" s="24"/>
      <c r="AO13" s="24"/>
      <c r="AP13" s="24"/>
      <c r="AQ13" s="24"/>
      <c r="AR13" s="36" t="s">
        <v>324</v>
      </c>
      <c r="AS13" s="24"/>
      <c r="AT13" s="24"/>
      <c r="AU13" s="24"/>
    </row>
    <row r="14" spans="1:47">
      <c r="A14" s="15">
        <v>8</v>
      </c>
      <c r="B14" s="16" t="s">
        <v>128</v>
      </c>
      <c r="C14" s="17" t="s">
        <v>40</v>
      </c>
      <c r="D14" s="19" t="s">
        <v>238</v>
      </c>
      <c r="E14" s="15" t="s">
        <v>169</v>
      </c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 t="s">
        <v>448</v>
      </c>
      <c r="AG14" s="24"/>
      <c r="AH14" s="33"/>
      <c r="AI14" s="24" t="s">
        <v>323</v>
      </c>
      <c r="AJ14" s="24"/>
      <c r="AK14" s="24" t="s">
        <v>324</v>
      </c>
      <c r="AL14" s="24" t="s">
        <v>324</v>
      </c>
      <c r="AM14" s="40" t="s">
        <v>324</v>
      </c>
      <c r="AN14" s="24"/>
      <c r="AO14" s="24" t="s">
        <v>324</v>
      </c>
      <c r="AP14" s="24" t="s">
        <v>324</v>
      </c>
      <c r="AQ14" s="24"/>
      <c r="AR14" s="36" t="s">
        <v>325</v>
      </c>
      <c r="AS14" s="24" t="s">
        <v>325</v>
      </c>
      <c r="AT14" s="24"/>
      <c r="AU14" s="24" t="s">
        <v>324</v>
      </c>
    </row>
    <row r="15" spans="1:47">
      <c r="A15" s="15">
        <v>9</v>
      </c>
      <c r="B15" s="16" t="s">
        <v>128</v>
      </c>
      <c r="C15" s="17" t="s">
        <v>41</v>
      </c>
      <c r="D15" s="21" t="s">
        <v>248</v>
      </c>
      <c r="E15" s="15" t="s">
        <v>166</v>
      </c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 t="s">
        <v>449</v>
      </c>
      <c r="AG15" s="24"/>
      <c r="AH15" s="33"/>
      <c r="AI15" s="24" t="s">
        <v>324</v>
      </c>
      <c r="AJ15" s="24" t="s">
        <v>323</v>
      </c>
      <c r="AK15" s="24" t="s">
        <v>325</v>
      </c>
      <c r="AL15" s="24" t="s">
        <v>325</v>
      </c>
      <c r="AM15" s="40" t="s">
        <v>324</v>
      </c>
      <c r="AN15" s="24"/>
      <c r="AO15" s="24" t="s">
        <v>324</v>
      </c>
      <c r="AP15" s="24" t="s">
        <v>324</v>
      </c>
      <c r="AQ15" s="24"/>
      <c r="AR15" s="36" t="s">
        <v>325</v>
      </c>
      <c r="AS15" s="24" t="s">
        <v>325</v>
      </c>
      <c r="AT15" s="24"/>
      <c r="AU15" s="24" t="s">
        <v>324</v>
      </c>
    </row>
    <row r="16" spans="1:47">
      <c r="A16" s="15">
        <v>10</v>
      </c>
      <c r="B16" s="16" t="s">
        <v>128</v>
      </c>
      <c r="C16" s="22" t="s">
        <v>45</v>
      </c>
      <c r="D16" s="21" t="s">
        <v>252</v>
      </c>
      <c r="E16" s="15" t="s">
        <v>169</v>
      </c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 t="s">
        <v>450</v>
      </c>
      <c r="AG16" s="24"/>
      <c r="AH16" s="33"/>
      <c r="AI16" s="24" t="s">
        <v>324</v>
      </c>
      <c r="AJ16" s="24"/>
      <c r="AK16" s="24" t="s">
        <v>323</v>
      </c>
      <c r="AL16" s="24" t="s">
        <v>325</v>
      </c>
      <c r="AM16" s="40" t="s">
        <v>325</v>
      </c>
      <c r="AN16" s="24"/>
      <c r="AO16" s="24" t="s">
        <v>324</v>
      </c>
      <c r="AP16" s="24" t="s">
        <v>324</v>
      </c>
      <c r="AQ16" s="24"/>
      <c r="AR16" s="36" t="s">
        <v>325</v>
      </c>
      <c r="AS16" s="24" t="s">
        <v>325</v>
      </c>
      <c r="AT16" s="24"/>
      <c r="AU16" s="24" t="s">
        <v>324</v>
      </c>
    </row>
    <row r="17" spans="1:47">
      <c r="A17" s="15">
        <v>11</v>
      </c>
      <c r="B17" s="16" t="s">
        <v>128</v>
      </c>
      <c r="C17" s="25" t="s">
        <v>17</v>
      </c>
      <c r="D17" s="19" t="s">
        <v>275</v>
      </c>
      <c r="E17" s="15" t="s">
        <v>169</v>
      </c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 t="s">
        <v>451</v>
      </c>
      <c r="AG17" s="24"/>
      <c r="AH17" s="33"/>
      <c r="AI17" s="24" t="s">
        <v>324</v>
      </c>
      <c r="AJ17" s="24" t="s">
        <v>323</v>
      </c>
      <c r="AK17" s="24" t="s">
        <v>323</v>
      </c>
      <c r="AL17" s="24" t="s">
        <v>325</v>
      </c>
      <c r="AM17" s="40" t="s">
        <v>325</v>
      </c>
      <c r="AN17" s="24"/>
      <c r="AO17" s="24" t="s">
        <v>324</v>
      </c>
      <c r="AP17" s="24" t="s">
        <v>324</v>
      </c>
      <c r="AQ17" s="24"/>
      <c r="AR17" s="36" t="s">
        <v>324</v>
      </c>
      <c r="AS17" s="24" t="s">
        <v>325</v>
      </c>
      <c r="AT17" s="24"/>
      <c r="AU17" s="24" t="s">
        <v>324</v>
      </c>
    </row>
    <row r="18" spans="1:47">
      <c r="A18" s="15">
        <v>12</v>
      </c>
      <c r="B18" s="16" t="s">
        <v>128</v>
      </c>
      <c r="C18" s="23" t="s">
        <v>31</v>
      </c>
      <c r="D18" s="19" t="s">
        <v>284</v>
      </c>
      <c r="E18" s="15" t="s">
        <v>166</v>
      </c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 t="s">
        <v>444</v>
      </c>
      <c r="AG18" s="24" t="s">
        <v>323</v>
      </c>
      <c r="AH18" s="33"/>
      <c r="AI18" s="24" t="s">
        <v>324</v>
      </c>
      <c r="AJ18" s="24" t="s">
        <v>324</v>
      </c>
      <c r="AK18" s="24" t="s">
        <v>325</v>
      </c>
      <c r="AL18" s="24" t="s">
        <v>325</v>
      </c>
      <c r="AM18" s="40" t="s">
        <v>325</v>
      </c>
      <c r="AN18" s="24"/>
      <c r="AO18" s="24" t="s">
        <v>324</v>
      </c>
      <c r="AP18" s="24" t="s">
        <v>325</v>
      </c>
      <c r="AQ18" s="24"/>
      <c r="AR18" s="36" t="s">
        <v>325</v>
      </c>
      <c r="AS18" s="24" t="s">
        <v>325</v>
      </c>
      <c r="AT18" s="24"/>
      <c r="AU18" s="24" t="s">
        <v>324</v>
      </c>
    </row>
    <row r="19" spans="1:47">
      <c r="A19" s="15">
        <v>13</v>
      </c>
      <c r="B19" s="16" t="s">
        <v>128</v>
      </c>
      <c r="C19" s="17" t="s">
        <v>48</v>
      </c>
      <c r="D19" s="19" t="s">
        <v>250</v>
      </c>
      <c r="E19" s="15" t="s">
        <v>169</v>
      </c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 t="s">
        <v>452</v>
      </c>
      <c r="AG19" s="24"/>
      <c r="AH19" s="33"/>
      <c r="AI19" s="24" t="s">
        <v>325</v>
      </c>
      <c r="AJ19" s="24"/>
      <c r="AK19" s="24" t="s">
        <v>323</v>
      </c>
      <c r="AL19" s="24" t="s">
        <v>324</v>
      </c>
      <c r="AM19" s="40" t="s">
        <v>324</v>
      </c>
      <c r="AN19" s="24"/>
      <c r="AO19" s="24"/>
      <c r="AP19" s="24" t="s">
        <v>324</v>
      </c>
      <c r="AQ19" s="24"/>
      <c r="AR19" s="36" t="s">
        <v>324</v>
      </c>
      <c r="AS19" s="24" t="s">
        <v>324</v>
      </c>
      <c r="AT19" s="24"/>
      <c r="AU19" s="24"/>
    </row>
    <row r="20" spans="1:47">
      <c r="A20" s="15">
        <v>14</v>
      </c>
      <c r="B20" s="16" t="s">
        <v>128</v>
      </c>
      <c r="C20" s="17" t="s">
        <v>22</v>
      </c>
      <c r="D20" s="18">
        <v>186816600</v>
      </c>
      <c r="E20" s="15" t="s">
        <v>166</v>
      </c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 t="s">
        <v>444</v>
      </c>
      <c r="AG20" s="24"/>
      <c r="AH20" s="33"/>
      <c r="AI20" s="24"/>
      <c r="AJ20" s="24"/>
      <c r="AK20" s="24"/>
      <c r="AL20" s="24"/>
      <c r="AM20" s="40"/>
      <c r="AN20" s="24"/>
      <c r="AO20" s="24"/>
      <c r="AP20" s="24" t="s">
        <v>325</v>
      </c>
      <c r="AQ20" s="24"/>
      <c r="AR20" s="36"/>
      <c r="AS20" s="24"/>
      <c r="AT20" s="24"/>
      <c r="AU20" s="24"/>
    </row>
    <row r="21" spans="1:47" hidden="1">
      <c r="A21" s="15">
        <v>15</v>
      </c>
      <c r="B21" s="37" t="s">
        <v>128</v>
      </c>
      <c r="C21" s="35" t="s">
        <v>21</v>
      </c>
      <c r="D21" s="19" t="s">
        <v>359</v>
      </c>
      <c r="E21" s="15" t="s">
        <v>166</v>
      </c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33"/>
      <c r="AI21" s="24"/>
      <c r="AJ21" s="24"/>
      <c r="AK21" s="24"/>
      <c r="AL21" s="24"/>
      <c r="AM21" s="40"/>
      <c r="AN21" s="24"/>
      <c r="AO21" s="24"/>
      <c r="AP21" s="24"/>
      <c r="AQ21" s="24"/>
      <c r="AR21" s="36"/>
      <c r="AS21" s="24"/>
      <c r="AT21" s="24"/>
      <c r="AU21" s="24"/>
    </row>
    <row r="22" spans="1:47">
      <c r="A22" s="15">
        <v>16</v>
      </c>
      <c r="B22" s="16" t="s">
        <v>128</v>
      </c>
      <c r="C22" s="25" t="s">
        <v>29</v>
      </c>
      <c r="D22" s="19" t="s">
        <v>278</v>
      </c>
      <c r="E22" s="15" t="s">
        <v>170</v>
      </c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 t="s">
        <v>450</v>
      </c>
      <c r="AG22" s="24" t="s">
        <v>323</v>
      </c>
      <c r="AH22" s="33"/>
      <c r="AI22" s="24" t="s">
        <v>324</v>
      </c>
      <c r="AJ22" s="24"/>
      <c r="AK22" s="24" t="s">
        <v>325</v>
      </c>
      <c r="AL22" s="24" t="s">
        <v>325</v>
      </c>
      <c r="AM22" s="40" t="s">
        <v>325</v>
      </c>
      <c r="AN22" s="24"/>
      <c r="AO22" s="24" t="s">
        <v>324</v>
      </c>
      <c r="AP22" s="24" t="s">
        <v>324</v>
      </c>
      <c r="AQ22" s="24"/>
      <c r="AR22" s="36" t="s">
        <v>324</v>
      </c>
      <c r="AS22" s="24" t="s">
        <v>324</v>
      </c>
      <c r="AT22" s="24"/>
      <c r="AU22" s="24" t="s">
        <v>324</v>
      </c>
    </row>
    <row r="23" spans="1:47">
      <c r="A23" s="15">
        <v>17</v>
      </c>
      <c r="B23" s="16" t="s">
        <v>128</v>
      </c>
      <c r="C23" s="17" t="s">
        <v>33</v>
      </c>
      <c r="D23" s="19" t="s">
        <v>249</v>
      </c>
      <c r="E23" s="15" t="s">
        <v>171</v>
      </c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 t="s">
        <v>452</v>
      </c>
      <c r="AG23" s="24" t="s">
        <v>323</v>
      </c>
      <c r="AH23" s="33"/>
      <c r="AI23" s="24" t="s">
        <v>323</v>
      </c>
      <c r="AJ23" s="24"/>
      <c r="AK23" s="24" t="s">
        <v>323</v>
      </c>
      <c r="AL23" s="24" t="s">
        <v>325</v>
      </c>
      <c r="AM23" s="40" t="s">
        <v>325</v>
      </c>
      <c r="AN23" s="24"/>
      <c r="AO23" s="24" t="s">
        <v>323</v>
      </c>
      <c r="AP23" s="24" t="s">
        <v>323</v>
      </c>
      <c r="AQ23" s="24"/>
      <c r="AR23" s="36"/>
      <c r="AS23" s="24" t="s">
        <v>324</v>
      </c>
      <c r="AT23" s="24"/>
      <c r="AU23" s="24" t="s">
        <v>323</v>
      </c>
    </row>
    <row r="24" spans="1:47">
      <c r="A24" s="15">
        <v>18</v>
      </c>
      <c r="B24" s="16" t="s">
        <v>126</v>
      </c>
      <c r="C24" s="17" t="s">
        <v>9</v>
      </c>
      <c r="D24" s="18">
        <v>187460004</v>
      </c>
      <c r="E24" s="15" t="s">
        <v>166</v>
      </c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 t="s">
        <v>450</v>
      </c>
      <c r="AG24" s="24"/>
      <c r="AH24" s="33"/>
      <c r="AI24" s="24"/>
      <c r="AJ24" s="24"/>
      <c r="AK24" s="24"/>
      <c r="AL24" s="24"/>
      <c r="AM24" s="40"/>
      <c r="AN24" s="24"/>
      <c r="AO24" s="24"/>
      <c r="AP24" s="24"/>
      <c r="AQ24" s="24"/>
      <c r="AR24" s="36"/>
      <c r="AS24" s="24"/>
      <c r="AT24" s="24"/>
      <c r="AU24" s="24"/>
    </row>
    <row r="25" spans="1:47">
      <c r="A25" s="15">
        <v>19</v>
      </c>
      <c r="B25" s="16" t="s">
        <v>126</v>
      </c>
      <c r="C25" s="17" t="s">
        <v>4</v>
      </c>
      <c r="D25" s="18">
        <v>189323103</v>
      </c>
      <c r="E25" s="15" t="s">
        <v>166</v>
      </c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 t="s">
        <v>450</v>
      </c>
      <c r="AG25" s="24"/>
      <c r="AH25" s="33"/>
      <c r="AI25" s="24"/>
      <c r="AJ25" s="24"/>
      <c r="AK25" s="24"/>
      <c r="AL25" s="24"/>
      <c r="AM25" s="40"/>
      <c r="AN25" s="24"/>
      <c r="AO25" s="24"/>
      <c r="AP25" s="24"/>
      <c r="AQ25" s="24"/>
      <c r="AR25" s="36"/>
      <c r="AS25" s="24"/>
      <c r="AT25" s="24"/>
      <c r="AU25" s="24"/>
    </row>
    <row r="26" spans="1:47">
      <c r="A26" s="15">
        <v>20</v>
      </c>
      <c r="B26" s="16" t="s">
        <v>126</v>
      </c>
      <c r="C26" s="17" t="s">
        <v>6</v>
      </c>
      <c r="D26" s="19" t="s">
        <v>384</v>
      </c>
      <c r="E26" s="15" t="s">
        <v>166</v>
      </c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 t="s">
        <v>451</v>
      </c>
      <c r="AG26" s="24"/>
      <c r="AH26" s="33"/>
      <c r="AI26" s="24"/>
      <c r="AJ26" s="24"/>
      <c r="AK26" s="24"/>
      <c r="AL26" s="24"/>
      <c r="AM26" s="40"/>
      <c r="AN26" s="24"/>
      <c r="AO26" s="24" t="s">
        <v>324</v>
      </c>
      <c r="AP26" s="24"/>
      <c r="AQ26" s="24"/>
      <c r="AR26" s="36"/>
      <c r="AS26" s="24"/>
      <c r="AT26" s="24"/>
      <c r="AU26" s="24" t="s">
        <v>324</v>
      </c>
    </row>
    <row r="27" spans="1:47">
      <c r="A27" s="15">
        <v>21</v>
      </c>
      <c r="B27" s="16" t="s">
        <v>126</v>
      </c>
      <c r="C27" s="17" t="s">
        <v>12</v>
      </c>
      <c r="D27" s="19" t="s">
        <v>376</v>
      </c>
      <c r="E27" s="15" t="s">
        <v>170</v>
      </c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 t="s">
        <v>444</v>
      </c>
      <c r="AG27" s="24"/>
      <c r="AH27" s="33"/>
      <c r="AI27" s="24"/>
      <c r="AJ27" s="24"/>
      <c r="AK27" s="24"/>
      <c r="AL27" s="24" t="s">
        <v>324</v>
      </c>
      <c r="AM27" s="40"/>
      <c r="AN27" s="24"/>
      <c r="AO27" s="24"/>
      <c r="AP27" s="24"/>
      <c r="AQ27" s="24"/>
      <c r="AR27" s="36"/>
      <c r="AS27" s="24" t="s">
        <v>324</v>
      </c>
      <c r="AT27" s="24"/>
      <c r="AU27" s="24"/>
    </row>
    <row r="28" spans="1:47">
      <c r="A28" s="15">
        <v>22</v>
      </c>
      <c r="B28" s="16" t="s">
        <v>126</v>
      </c>
      <c r="C28" s="29" t="s">
        <v>46</v>
      </c>
      <c r="D28" s="19" t="s">
        <v>373</v>
      </c>
      <c r="E28" s="15" t="s">
        <v>178</v>
      </c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 t="s">
        <v>444</v>
      </c>
      <c r="AG28" s="24"/>
      <c r="AH28" s="33"/>
      <c r="AI28" s="24"/>
      <c r="AJ28" s="24"/>
      <c r="AK28" s="24" t="s">
        <v>324</v>
      </c>
      <c r="AL28" s="24"/>
      <c r="AM28" s="40"/>
      <c r="AN28" s="24"/>
      <c r="AO28" s="24"/>
      <c r="AP28" s="24"/>
      <c r="AQ28" s="24"/>
      <c r="AR28" s="36"/>
      <c r="AS28" s="24"/>
      <c r="AT28" s="24"/>
      <c r="AU28" s="24"/>
    </row>
    <row r="29" spans="1:47">
      <c r="A29" s="15">
        <v>23</v>
      </c>
      <c r="B29" s="16" t="s">
        <v>126</v>
      </c>
      <c r="C29" s="25" t="s">
        <v>47</v>
      </c>
      <c r="D29" s="19" t="s">
        <v>377</v>
      </c>
      <c r="E29" s="15" t="s">
        <v>166</v>
      </c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 t="s">
        <v>444</v>
      </c>
      <c r="AG29" s="24"/>
      <c r="AH29" s="33"/>
      <c r="AI29" s="24"/>
      <c r="AJ29" s="24"/>
      <c r="AK29" s="24"/>
      <c r="AL29" s="24" t="s">
        <v>324</v>
      </c>
      <c r="AM29" s="40" t="s">
        <v>325</v>
      </c>
      <c r="AN29" s="24"/>
      <c r="AO29" s="24"/>
      <c r="AP29" s="24" t="s">
        <v>325</v>
      </c>
      <c r="AQ29" s="24"/>
      <c r="AR29" s="36"/>
      <c r="AS29" s="24"/>
      <c r="AT29" s="24"/>
      <c r="AU29" s="24"/>
    </row>
    <row r="30" spans="1:47">
      <c r="A30" s="15">
        <v>24</v>
      </c>
      <c r="B30" s="16" t="s">
        <v>126</v>
      </c>
      <c r="C30" s="23" t="s">
        <v>47</v>
      </c>
      <c r="D30" s="19" t="s">
        <v>327</v>
      </c>
      <c r="E30" s="15" t="s">
        <v>166</v>
      </c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 t="s">
        <v>452</v>
      </c>
      <c r="AG30" s="24"/>
      <c r="AH30" s="33"/>
      <c r="AI30" s="24" t="s">
        <v>324</v>
      </c>
      <c r="AJ30" s="24" t="s">
        <v>324</v>
      </c>
      <c r="AK30" s="24" t="s">
        <v>323</v>
      </c>
      <c r="AL30" s="24" t="s">
        <v>324</v>
      </c>
      <c r="AM30" s="40" t="s">
        <v>325</v>
      </c>
      <c r="AN30" s="24"/>
      <c r="AO30" s="24" t="s">
        <v>324</v>
      </c>
      <c r="AP30" s="24" t="s">
        <v>323</v>
      </c>
      <c r="AQ30" s="24"/>
      <c r="AR30" s="36" t="s">
        <v>324</v>
      </c>
      <c r="AS30" s="24"/>
      <c r="AT30" s="24"/>
      <c r="AU30" s="24" t="s">
        <v>324</v>
      </c>
    </row>
    <row r="31" spans="1:47">
      <c r="A31" s="15">
        <v>25</v>
      </c>
      <c r="B31" s="16" t="s">
        <v>126</v>
      </c>
      <c r="C31" s="17" t="s">
        <v>49</v>
      </c>
      <c r="D31" s="34" t="s">
        <v>393</v>
      </c>
      <c r="E31" s="15" t="s">
        <v>177</v>
      </c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 t="s">
        <v>448</v>
      </c>
      <c r="AG31" s="24"/>
      <c r="AH31" s="33"/>
      <c r="AI31" s="24"/>
      <c r="AJ31" s="24"/>
      <c r="AK31" s="24"/>
      <c r="AL31" s="24"/>
      <c r="AM31" s="40"/>
      <c r="AN31" s="24"/>
      <c r="AO31" s="24"/>
      <c r="AP31" s="24" t="s">
        <v>324</v>
      </c>
      <c r="AQ31" s="24" t="s">
        <v>324</v>
      </c>
      <c r="AR31" s="36"/>
      <c r="AS31" s="24"/>
      <c r="AT31" s="24"/>
      <c r="AU31" s="24"/>
    </row>
    <row r="32" spans="1:47">
      <c r="A32" s="15">
        <v>26</v>
      </c>
      <c r="B32" s="16" t="s">
        <v>126</v>
      </c>
      <c r="C32" s="17" t="s">
        <v>15</v>
      </c>
      <c r="D32" s="34" t="s">
        <v>298</v>
      </c>
      <c r="E32" s="15" t="s">
        <v>166</v>
      </c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 t="s">
        <v>444</v>
      </c>
      <c r="AG32" s="24" t="s">
        <v>324</v>
      </c>
      <c r="AH32" s="33"/>
      <c r="AI32" s="24" t="s">
        <v>323</v>
      </c>
      <c r="AJ32" s="24" t="s">
        <v>323</v>
      </c>
      <c r="AK32" s="24" t="s">
        <v>323</v>
      </c>
      <c r="AL32" s="24" t="s">
        <v>324</v>
      </c>
      <c r="AM32" s="40" t="s">
        <v>325</v>
      </c>
      <c r="AN32" s="24"/>
      <c r="AO32" s="24"/>
      <c r="AP32" s="24" t="s">
        <v>324</v>
      </c>
      <c r="AQ32" s="24"/>
      <c r="AR32" s="36"/>
      <c r="AS32" s="24"/>
      <c r="AT32" s="24"/>
      <c r="AU32" s="24"/>
    </row>
    <row r="33" spans="1:47">
      <c r="A33" s="15">
        <v>27</v>
      </c>
      <c r="B33" s="16" t="s">
        <v>126</v>
      </c>
      <c r="C33" s="17" t="s">
        <v>52</v>
      </c>
      <c r="D33" s="19" t="s">
        <v>354</v>
      </c>
      <c r="E33" s="15" t="s">
        <v>166</v>
      </c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 t="s">
        <v>451</v>
      </c>
      <c r="AG33" s="24" t="s">
        <v>325</v>
      </c>
      <c r="AH33" s="33"/>
      <c r="AI33" s="24" t="s">
        <v>324</v>
      </c>
      <c r="AJ33" s="24" t="s">
        <v>325</v>
      </c>
      <c r="AK33" s="24"/>
      <c r="AL33" s="24"/>
      <c r="AM33" s="40"/>
      <c r="AN33" s="24"/>
      <c r="AO33" s="24"/>
      <c r="AP33" s="24"/>
      <c r="AQ33" s="24"/>
      <c r="AR33" s="36"/>
      <c r="AS33" s="24"/>
      <c r="AT33" s="24"/>
      <c r="AU33" s="24"/>
    </row>
    <row r="34" spans="1:47" hidden="1">
      <c r="A34" s="15">
        <v>28</v>
      </c>
      <c r="B34" s="37" t="s">
        <v>126</v>
      </c>
      <c r="C34" s="35" t="s">
        <v>15</v>
      </c>
      <c r="D34" s="18">
        <v>184495507</v>
      </c>
      <c r="E34" s="15" t="s">
        <v>166</v>
      </c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33"/>
      <c r="AI34" s="24"/>
      <c r="AJ34" s="24"/>
      <c r="AK34" s="24"/>
      <c r="AL34" s="24" t="s">
        <v>324</v>
      </c>
      <c r="AM34" s="40"/>
      <c r="AN34" s="24"/>
      <c r="AO34" s="24"/>
      <c r="AP34" s="24"/>
      <c r="AQ34" s="24"/>
      <c r="AR34" s="36"/>
      <c r="AS34" s="24"/>
      <c r="AT34" s="24"/>
      <c r="AU34" s="24"/>
    </row>
    <row r="35" spans="1:47">
      <c r="A35" s="15">
        <v>29</v>
      </c>
      <c r="B35" s="16" t="s">
        <v>126</v>
      </c>
      <c r="C35" s="25" t="s">
        <v>34</v>
      </c>
      <c r="D35" s="18">
        <v>184498304</v>
      </c>
      <c r="E35" s="15" t="s">
        <v>166</v>
      </c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 t="s">
        <v>446</v>
      </c>
      <c r="AG35" s="24"/>
      <c r="AH35" s="33"/>
      <c r="AI35" s="24"/>
      <c r="AJ35" s="24"/>
      <c r="AK35" s="24"/>
      <c r="AL35" s="24"/>
      <c r="AM35" s="40"/>
      <c r="AN35" s="24"/>
      <c r="AO35" s="24"/>
      <c r="AP35" s="24"/>
      <c r="AQ35" s="24"/>
      <c r="AR35" s="36"/>
      <c r="AS35" s="24"/>
      <c r="AT35" s="24"/>
      <c r="AU35" s="24"/>
    </row>
    <row r="36" spans="1:47">
      <c r="A36" s="15">
        <v>30</v>
      </c>
      <c r="B36" s="16" t="s">
        <v>126</v>
      </c>
      <c r="C36" s="17" t="s">
        <v>58</v>
      </c>
      <c r="D36" s="18">
        <v>184432201</v>
      </c>
      <c r="E36" s="15" t="s">
        <v>179</v>
      </c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 t="s">
        <v>451</v>
      </c>
      <c r="AG36" s="24"/>
      <c r="AH36" s="33"/>
      <c r="AI36" s="24"/>
      <c r="AJ36" s="24"/>
      <c r="AK36" s="24"/>
      <c r="AL36" s="24"/>
      <c r="AM36" s="40"/>
      <c r="AN36" s="24"/>
      <c r="AO36" s="24"/>
      <c r="AP36" s="24"/>
      <c r="AQ36" s="24"/>
      <c r="AR36" s="36"/>
      <c r="AS36" s="24"/>
      <c r="AT36" s="24"/>
      <c r="AU36" s="24"/>
    </row>
    <row r="37" spans="1:47">
      <c r="A37" s="15">
        <v>31</v>
      </c>
      <c r="B37" s="16" t="s">
        <v>126</v>
      </c>
      <c r="C37" s="24" t="s">
        <v>57</v>
      </c>
      <c r="D37" s="27" t="s">
        <v>371</v>
      </c>
      <c r="E37" s="15" t="s">
        <v>179</v>
      </c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 t="s">
        <v>451</v>
      </c>
      <c r="AG37" s="24"/>
      <c r="AH37" s="33"/>
      <c r="AI37" s="24"/>
      <c r="AJ37" s="24"/>
      <c r="AK37" s="24"/>
      <c r="AL37" s="24" t="s">
        <v>324</v>
      </c>
      <c r="AM37" s="40"/>
      <c r="AN37" s="24"/>
      <c r="AO37" s="24"/>
      <c r="AP37" s="24"/>
      <c r="AQ37" s="24"/>
      <c r="AR37" s="36"/>
      <c r="AS37" s="24"/>
      <c r="AT37" s="24"/>
      <c r="AU37" s="24"/>
    </row>
    <row r="38" spans="1:47">
      <c r="A38" s="15">
        <v>32</v>
      </c>
      <c r="B38" s="16" t="s">
        <v>126</v>
      </c>
      <c r="C38" s="20" t="s">
        <v>14</v>
      </c>
      <c r="D38" s="19" t="s">
        <v>381</v>
      </c>
      <c r="E38" s="15" t="s">
        <v>174</v>
      </c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 t="s">
        <v>446</v>
      </c>
      <c r="AG38" s="24"/>
      <c r="AH38" s="33"/>
      <c r="AI38" s="24" t="s">
        <v>324</v>
      </c>
      <c r="AJ38" s="24"/>
      <c r="AK38" s="24"/>
      <c r="AL38" s="24"/>
      <c r="AM38" s="40"/>
      <c r="AN38" s="24"/>
      <c r="AO38" s="24" t="s">
        <v>325</v>
      </c>
      <c r="AP38" s="24" t="s">
        <v>325</v>
      </c>
      <c r="AQ38" s="24"/>
      <c r="AR38" s="36"/>
      <c r="AS38" s="24"/>
      <c r="AT38" s="24"/>
      <c r="AU38" s="24" t="s">
        <v>325</v>
      </c>
    </row>
    <row r="39" spans="1:47">
      <c r="A39" s="15">
        <v>33</v>
      </c>
      <c r="B39" s="16" t="s">
        <v>126</v>
      </c>
      <c r="C39" s="17" t="s">
        <v>23</v>
      </c>
      <c r="D39" s="19" t="s">
        <v>496</v>
      </c>
      <c r="E39" s="15" t="s">
        <v>169</v>
      </c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 t="s">
        <v>450</v>
      </c>
      <c r="AG39" s="24"/>
      <c r="AH39" s="33"/>
      <c r="AI39" s="24"/>
      <c r="AJ39" s="24"/>
      <c r="AK39" s="24"/>
      <c r="AL39" s="24"/>
      <c r="AM39" s="40"/>
      <c r="AN39" s="24"/>
      <c r="AO39" s="24" t="s">
        <v>325</v>
      </c>
      <c r="AP39" s="24"/>
      <c r="AQ39" s="24"/>
      <c r="AR39" s="36"/>
      <c r="AS39" s="24"/>
      <c r="AT39" s="24"/>
      <c r="AU39" s="24" t="s">
        <v>325</v>
      </c>
    </row>
    <row r="40" spans="1:47">
      <c r="A40" s="15">
        <v>34</v>
      </c>
      <c r="B40" s="16" t="s">
        <v>126</v>
      </c>
      <c r="C40" s="17" t="s">
        <v>24</v>
      </c>
      <c r="D40" s="19" t="s">
        <v>378</v>
      </c>
      <c r="E40" s="15" t="s">
        <v>169</v>
      </c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 t="s">
        <v>443</v>
      </c>
      <c r="AG40" s="24"/>
      <c r="AH40" s="33"/>
      <c r="AI40" s="24"/>
      <c r="AJ40" s="24"/>
      <c r="AK40" s="24"/>
      <c r="AL40" s="24"/>
      <c r="AM40" s="40" t="s">
        <v>325</v>
      </c>
      <c r="AN40" s="24"/>
      <c r="AO40" s="24"/>
      <c r="AP40" s="24"/>
      <c r="AQ40" s="24"/>
      <c r="AR40" s="36"/>
      <c r="AS40" s="24"/>
      <c r="AT40" s="24"/>
      <c r="AU40" s="24"/>
    </row>
    <row r="41" spans="1:47">
      <c r="A41" s="15">
        <v>35</v>
      </c>
      <c r="B41" s="16" t="s">
        <v>126</v>
      </c>
      <c r="C41" s="25" t="s">
        <v>25</v>
      </c>
      <c r="D41" s="19" t="s">
        <v>365</v>
      </c>
      <c r="E41" s="15" t="s">
        <v>169</v>
      </c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 t="s">
        <v>446</v>
      </c>
      <c r="AG41" s="24" t="s">
        <v>323</v>
      </c>
      <c r="AH41" s="33"/>
      <c r="AI41" s="24"/>
      <c r="AJ41" s="24"/>
      <c r="AK41" s="24" t="s">
        <v>324</v>
      </c>
      <c r="AL41" s="24"/>
      <c r="AM41" s="40"/>
      <c r="AN41" s="24"/>
      <c r="AO41" s="24"/>
      <c r="AP41" s="24"/>
      <c r="AQ41" s="24"/>
      <c r="AR41" s="36" t="s">
        <v>324</v>
      </c>
      <c r="AS41" s="24"/>
      <c r="AT41" s="24"/>
      <c r="AU41" s="24"/>
    </row>
    <row r="42" spans="1:47">
      <c r="A42" s="15">
        <v>36</v>
      </c>
      <c r="B42" s="16" t="s">
        <v>126</v>
      </c>
      <c r="C42" s="17" t="s">
        <v>26</v>
      </c>
      <c r="D42" s="19" t="s">
        <v>356</v>
      </c>
      <c r="E42" s="15" t="s">
        <v>169</v>
      </c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 t="s">
        <v>452</v>
      </c>
      <c r="AG42" s="24"/>
      <c r="AH42" s="33"/>
      <c r="AI42" s="24"/>
      <c r="AJ42" s="24"/>
      <c r="AK42" s="24"/>
      <c r="AL42" s="24"/>
      <c r="AM42" s="40"/>
      <c r="AN42" s="24"/>
      <c r="AO42" s="24"/>
      <c r="AP42" s="24"/>
      <c r="AQ42" s="24" t="s">
        <v>324</v>
      </c>
      <c r="AR42" s="36"/>
      <c r="AS42" s="24"/>
      <c r="AT42" s="24"/>
      <c r="AU42" s="24"/>
    </row>
    <row r="43" spans="1:47">
      <c r="A43" s="15">
        <v>37</v>
      </c>
      <c r="B43" s="16" t="s">
        <v>126</v>
      </c>
      <c r="C43" s="17" t="s">
        <v>42</v>
      </c>
      <c r="D43" s="18">
        <v>187315200</v>
      </c>
      <c r="E43" s="15" t="s">
        <v>166</v>
      </c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 t="s">
        <v>444</v>
      </c>
      <c r="AG43" s="24"/>
      <c r="AH43" s="33"/>
      <c r="AI43" s="24"/>
      <c r="AJ43" s="24"/>
      <c r="AK43" s="24"/>
      <c r="AL43" s="24"/>
      <c r="AM43" s="40"/>
      <c r="AN43" s="24"/>
      <c r="AO43" s="24"/>
      <c r="AP43" s="24"/>
      <c r="AQ43" s="24"/>
      <c r="AR43" s="36"/>
      <c r="AS43" s="24"/>
      <c r="AT43" s="24"/>
      <c r="AU43" s="24"/>
    </row>
    <row r="44" spans="1:47">
      <c r="A44" s="15">
        <v>38</v>
      </c>
      <c r="B44" s="16" t="s">
        <v>126</v>
      </c>
      <c r="C44" s="28" t="s">
        <v>19</v>
      </c>
      <c r="D44" s="19" t="s">
        <v>422</v>
      </c>
      <c r="E44" s="15" t="s">
        <v>166</v>
      </c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 t="s">
        <v>449</v>
      </c>
      <c r="AG44" s="24"/>
      <c r="AH44" s="33"/>
      <c r="AI44" s="24"/>
      <c r="AJ44" s="24"/>
      <c r="AK44" s="24"/>
      <c r="AL44" s="24"/>
      <c r="AM44" s="40" t="s">
        <v>325</v>
      </c>
      <c r="AN44" s="24"/>
      <c r="AO44" s="24" t="s">
        <v>323</v>
      </c>
      <c r="AP44" s="24"/>
      <c r="AQ44" s="24"/>
      <c r="AR44" s="36"/>
      <c r="AS44" s="24"/>
      <c r="AT44" s="24"/>
      <c r="AU44" s="24" t="s">
        <v>323</v>
      </c>
    </row>
    <row r="45" spans="1:47">
      <c r="A45" s="15">
        <v>39</v>
      </c>
      <c r="B45" s="16" t="s">
        <v>126</v>
      </c>
      <c r="C45" s="25" t="s">
        <v>5</v>
      </c>
      <c r="D45" s="19" t="s">
        <v>297</v>
      </c>
      <c r="E45" s="15" t="s">
        <v>166</v>
      </c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 t="s">
        <v>446</v>
      </c>
      <c r="AG45" s="24"/>
      <c r="AH45" s="33"/>
      <c r="AI45" s="24" t="s">
        <v>324</v>
      </c>
      <c r="AJ45" s="24" t="s">
        <v>324</v>
      </c>
      <c r="AK45" s="24" t="s">
        <v>323</v>
      </c>
      <c r="AL45" s="24" t="s">
        <v>325</v>
      </c>
      <c r="AM45" s="40" t="s">
        <v>325</v>
      </c>
      <c r="AN45" s="24"/>
      <c r="AO45" s="24" t="s">
        <v>325</v>
      </c>
      <c r="AP45" s="24"/>
      <c r="AQ45" s="24"/>
      <c r="AR45" s="36"/>
      <c r="AS45" s="24"/>
      <c r="AT45" s="24"/>
      <c r="AU45" s="24" t="s">
        <v>325</v>
      </c>
    </row>
    <row r="46" spans="1:47">
      <c r="A46" s="15">
        <v>40</v>
      </c>
      <c r="B46" s="16" t="s">
        <v>126</v>
      </c>
      <c r="C46" s="25" t="s">
        <v>44</v>
      </c>
      <c r="D46" s="19" t="s">
        <v>392</v>
      </c>
      <c r="E46" s="15" t="s">
        <v>166</v>
      </c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 t="s">
        <v>445</v>
      </c>
      <c r="AG46" s="24"/>
      <c r="AH46" s="33"/>
      <c r="AI46" s="24"/>
      <c r="AJ46" s="24"/>
      <c r="AK46" s="24"/>
      <c r="AL46" s="24"/>
      <c r="AM46" s="40"/>
      <c r="AN46" s="24"/>
      <c r="AO46" s="24"/>
      <c r="AP46" s="24"/>
      <c r="AQ46" s="24"/>
      <c r="AR46" s="36" t="s">
        <v>324</v>
      </c>
      <c r="AS46" s="24"/>
      <c r="AT46" s="24"/>
      <c r="AU46" s="24"/>
    </row>
    <row r="47" spans="1:47">
      <c r="A47" s="15">
        <v>41</v>
      </c>
      <c r="B47" s="16" t="s">
        <v>126</v>
      </c>
      <c r="C47" s="17" t="s">
        <v>43</v>
      </c>
      <c r="D47" s="19" t="s">
        <v>296</v>
      </c>
      <c r="E47" s="15" t="s">
        <v>180</v>
      </c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 t="s">
        <v>445</v>
      </c>
      <c r="AG47" s="24"/>
      <c r="AH47" s="33"/>
      <c r="AI47" s="24" t="s">
        <v>325</v>
      </c>
      <c r="AJ47" s="24"/>
      <c r="AK47" s="24"/>
      <c r="AL47" s="24"/>
      <c r="AM47" s="40"/>
      <c r="AN47" s="24"/>
      <c r="AO47" s="24"/>
      <c r="AP47" s="24"/>
      <c r="AQ47" s="24"/>
      <c r="AR47" s="36"/>
      <c r="AS47" s="24"/>
      <c r="AT47" s="24"/>
      <c r="AU47" s="24"/>
    </row>
    <row r="48" spans="1:47">
      <c r="A48" s="15">
        <v>42</v>
      </c>
      <c r="B48" s="16" t="s">
        <v>126</v>
      </c>
      <c r="C48" s="26" t="s">
        <v>16</v>
      </c>
      <c r="D48" s="34" t="s">
        <v>391</v>
      </c>
      <c r="E48" s="15" t="s">
        <v>167</v>
      </c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 t="s">
        <v>445</v>
      </c>
      <c r="AG48" s="24"/>
      <c r="AH48" s="33"/>
      <c r="AI48" s="24"/>
      <c r="AJ48" s="24"/>
      <c r="AK48" s="24"/>
      <c r="AL48" s="24"/>
      <c r="AM48" s="40"/>
      <c r="AN48" s="24"/>
      <c r="AO48" s="24"/>
      <c r="AP48" s="24"/>
      <c r="AQ48" s="24"/>
      <c r="AR48" s="36"/>
      <c r="AS48" s="24"/>
      <c r="AT48" s="24"/>
      <c r="AU48" s="24"/>
    </row>
    <row r="49" spans="1:47">
      <c r="A49" s="15">
        <v>43</v>
      </c>
      <c r="B49" s="16" t="s">
        <v>126</v>
      </c>
      <c r="C49" s="26" t="s">
        <v>55</v>
      </c>
      <c r="D49" s="34" t="s">
        <v>360</v>
      </c>
      <c r="E49" s="15" t="s">
        <v>181</v>
      </c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 t="s">
        <v>452</v>
      </c>
      <c r="AG49" s="24"/>
      <c r="AH49" s="33"/>
      <c r="AI49" s="24"/>
      <c r="AJ49" s="24" t="s">
        <v>323</v>
      </c>
      <c r="AK49" s="24"/>
      <c r="AL49" s="24"/>
      <c r="AM49" s="40"/>
      <c r="AN49" s="24"/>
      <c r="AO49" s="24" t="s">
        <v>324</v>
      </c>
      <c r="AP49" s="24"/>
      <c r="AQ49" s="24"/>
      <c r="AR49" s="36"/>
      <c r="AS49" s="24"/>
      <c r="AT49" s="24"/>
      <c r="AU49" s="24" t="s">
        <v>324</v>
      </c>
    </row>
    <row r="50" spans="1:47">
      <c r="A50" s="15">
        <v>44</v>
      </c>
      <c r="B50" s="16" t="s">
        <v>126</v>
      </c>
      <c r="C50" s="26" t="s">
        <v>54</v>
      </c>
      <c r="D50" s="27" t="s">
        <v>328</v>
      </c>
      <c r="E50" s="15" t="s">
        <v>170</v>
      </c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 t="s">
        <v>450</v>
      </c>
      <c r="AG50" s="24"/>
      <c r="AH50" s="33"/>
      <c r="AI50" s="24"/>
      <c r="AJ50" s="24"/>
      <c r="AK50" s="24"/>
      <c r="AL50" s="24" t="s">
        <v>324</v>
      </c>
      <c r="AM50" s="40" t="s">
        <v>324</v>
      </c>
      <c r="AN50" s="24"/>
      <c r="AO50" s="24"/>
      <c r="AP50" s="24"/>
      <c r="AQ50" s="24"/>
      <c r="AR50" s="36"/>
      <c r="AS50" s="24"/>
      <c r="AT50" s="24"/>
      <c r="AU50" s="24"/>
    </row>
    <row r="51" spans="1:47">
      <c r="A51" s="15">
        <v>45</v>
      </c>
      <c r="B51" s="16" t="s">
        <v>126</v>
      </c>
      <c r="C51" s="26" t="s">
        <v>35</v>
      </c>
      <c r="D51" s="27" t="s">
        <v>382</v>
      </c>
      <c r="E51" s="15" t="s">
        <v>166</v>
      </c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 t="s">
        <v>445</v>
      </c>
      <c r="AG51" s="24"/>
      <c r="AH51" s="33"/>
      <c r="AI51" s="24"/>
      <c r="AJ51" s="24"/>
      <c r="AK51" s="24"/>
      <c r="AL51" s="24"/>
      <c r="AM51" s="40"/>
      <c r="AN51" s="24"/>
      <c r="AO51" s="24" t="s">
        <v>324</v>
      </c>
      <c r="AP51" s="24"/>
      <c r="AQ51" s="24"/>
      <c r="AR51" s="36"/>
      <c r="AS51" s="24"/>
      <c r="AT51" s="24"/>
      <c r="AU51" s="24" t="s">
        <v>324</v>
      </c>
    </row>
    <row r="52" spans="1:47">
      <c r="A52" s="15">
        <v>46</v>
      </c>
      <c r="B52" s="16" t="s">
        <v>126</v>
      </c>
      <c r="C52" s="26" t="s">
        <v>59</v>
      </c>
      <c r="D52" s="27" t="s">
        <v>361</v>
      </c>
      <c r="E52" s="15" t="s">
        <v>169</v>
      </c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 t="s">
        <v>451</v>
      </c>
      <c r="AG52" s="24"/>
      <c r="AH52" s="33"/>
      <c r="AI52" s="24"/>
      <c r="AJ52" s="24" t="s">
        <v>325</v>
      </c>
      <c r="AK52" s="24"/>
      <c r="AL52" s="24"/>
      <c r="AM52" s="40"/>
      <c r="AN52" s="24"/>
      <c r="AO52" s="24"/>
      <c r="AP52" s="24"/>
      <c r="AQ52" s="24"/>
      <c r="AR52" s="36"/>
      <c r="AS52" s="24"/>
      <c r="AT52" s="24"/>
      <c r="AU52" s="24"/>
    </row>
    <row r="53" spans="1:47">
      <c r="A53" s="15">
        <v>47</v>
      </c>
      <c r="B53" s="16" t="s">
        <v>126</v>
      </c>
      <c r="C53" s="26" t="s">
        <v>60</v>
      </c>
      <c r="D53" s="27" t="s">
        <v>353</v>
      </c>
      <c r="E53" s="15" t="s">
        <v>166</v>
      </c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 t="s">
        <v>442</v>
      </c>
      <c r="AG53" s="24"/>
      <c r="AH53" s="33"/>
      <c r="AI53" s="24" t="s">
        <v>325</v>
      </c>
      <c r="AJ53" s="24"/>
      <c r="AK53" s="24"/>
      <c r="AL53" s="24" t="s">
        <v>323</v>
      </c>
      <c r="AM53" s="40" t="s">
        <v>325</v>
      </c>
      <c r="AN53" s="24"/>
      <c r="AO53" s="24"/>
      <c r="AP53" s="24" t="s">
        <v>325</v>
      </c>
      <c r="AQ53" s="24"/>
      <c r="AR53" s="36"/>
      <c r="AS53" s="24"/>
      <c r="AT53" s="24"/>
      <c r="AU53" s="24"/>
    </row>
    <row r="54" spans="1:47">
      <c r="A54" s="15">
        <v>48</v>
      </c>
      <c r="B54" s="16" t="s">
        <v>126</v>
      </c>
      <c r="C54" s="26" t="s">
        <v>56</v>
      </c>
      <c r="D54" s="27" t="s">
        <v>383</v>
      </c>
      <c r="E54" s="15" t="s">
        <v>182</v>
      </c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 t="s">
        <v>450</v>
      </c>
      <c r="AG54" s="24"/>
      <c r="AH54" s="33"/>
      <c r="AI54" s="24"/>
      <c r="AJ54" s="24"/>
      <c r="AK54" s="24"/>
      <c r="AL54" s="24"/>
      <c r="AM54" s="40"/>
      <c r="AN54" s="24"/>
      <c r="AO54" s="24" t="s">
        <v>324</v>
      </c>
      <c r="AP54" s="24" t="s">
        <v>324</v>
      </c>
      <c r="AQ54" s="24"/>
      <c r="AR54" s="36" t="s">
        <v>324</v>
      </c>
      <c r="AS54" s="24"/>
      <c r="AT54" s="24"/>
      <c r="AU54" s="24" t="s">
        <v>324</v>
      </c>
    </row>
    <row r="55" spans="1:47">
      <c r="A55" s="15">
        <v>49</v>
      </c>
      <c r="B55" s="16" t="s">
        <v>126</v>
      </c>
      <c r="C55" s="26" t="s">
        <v>51</v>
      </c>
      <c r="D55" s="27" t="s">
        <v>295</v>
      </c>
      <c r="E55" s="15" t="s">
        <v>171</v>
      </c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 t="s">
        <v>442</v>
      </c>
      <c r="AG55" s="24"/>
      <c r="AH55" s="33"/>
      <c r="AI55" s="24"/>
      <c r="AJ55" s="24" t="s">
        <v>323</v>
      </c>
      <c r="AK55" s="24"/>
      <c r="AL55" s="24"/>
      <c r="AM55" s="40"/>
      <c r="AN55" s="24"/>
      <c r="AO55" s="24"/>
      <c r="AP55" s="24"/>
      <c r="AQ55" s="24"/>
      <c r="AR55" s="36"/>
      <c r="AS55" s="24"/>
      <c r="AT55" s="24"/>
      <c r="AU55" s="24"/>
    </row>
    <row r="56" spans="1:47">
      <c r="A56" s="15">
        <v>50</v>
      </c>
      <c r="B56" s="16" t="s">
        <v>133</v>
      </c>
      <c r="C56" s="17" t="s">
        <v>112</v>
      </c>
      <c r="D56" s="19" t="s">
        <v>268</v>
      </c>
      <c r="E56" s="15" t="s">
        <v>172</v>
      </c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 t="s">
        <v>444</v>
      </c>
      <c r="AG56" s="24"/>
      <c r="AH56" s="33"/>
      <c r="AI56" s="24" t="s">
        <v>323</v>
      </c>
      <c r="AJ56" s="24"/>
      <c r="AK56" s="24"/>
      <c r="AL56" s="24" t="s">
        <v>325</v>
      </c>
      <c r="AM56" s="40"/>
      <c r="AN56" s="24"/>
      <c r="AO56" s="24" t="s">
        <v>323</v>
      </c>
      <c r="AP56" s="24" t="s">
        <v>324</v>
      </c>
      <c r="AQ56" s="24"/>
      <c r="AR56" s="36" t="s">
        <v>324</v>
      </c>
      <c r="AS56" s="24"/>
      <c r="AT56" s="24"/>
      <c r="AU56" s="24" t="s">
        <v>323</v>
      </c>
    </row>
    <row r="57" spans="1:47">
      <c r="A57" s="15">
        <v>51</v>
      </c>
      <c r="B57" s="16" t="s">
        <v>133</v>
      </c>
      <c r="C57" s="17" t="s">
        <v>113</v>
      </c>
      <c r="D57" s="19" t="s">
        <v>269</v>
      </c>
      <c r="E57" s="15" t="s">
        <v>172</v>
      </c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 t="s">
        <v>446</v>
      </c>
      <c r="AG57" s="24" t="s">
        <v>325</v>
      </c>
      <c r="AH57" s="33"/>
      <c r="AI57" s="24"/>
      <c r="AJ57" s="24"/>
      <c r="AK57" s="24"/>
      <c r="AL57" s="24" t="s">
        <v>325</v>
      </c>
      <c r="AM57" s="40"/>
      <c r="AN57" s="24"/>
      <c r="AO57" s="24" t="s">
        <v>325</v>
      </c>
      <c r="AP57" s="24"/>
      <c r="AQ57" s="24"/>
      <c r="AR57" s="36"/>
      <c r="AS57" s="24"/>
      <c r="AT57" s="24"/>
      <c r="AU57" s="24" t="s">
        <v>325</v>
      </c>
    </row>
    <row r="58" spans="1:47">
      <c r="A58" s="15">
        <v>52</v>
      </c>
      <c r="B58" s="16" t="s">
        <v>133</v>
      </c>
      <c r="C58" s="17" t="s">
        <v>114</v>
      </c>
      <c r="D58" s="19" t="s">
        <v>294</v>
      </c>
      <c r="E58" s="15" t="s">
        <v>166</v>
      </c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 t="s">
        <v>444</v>
      </c>
      <c r="AG58" s="24"/>
      <c r="AH58" s="33"/>
      <c r="AI58" s="24" t="s">
        <v>324</v>
      </c>
      <c r="AJ58" s="24" t="s">
        <v>323</v>
      </c>
      <c r="AK58" s="24" t="s">
        <v>324</v>
      </c>
      <c r="AL58" s="24" t="s">
        <v>325</v>
      </c>
      <c r="AM58" s="40" t="s">
        <v>325</v>
      </c>
      <c r="AN58" s="24"/>
      <c r="AO58" s="24" t="s">
        <v>325</v>
      </c>
      <c r="AP58" s="24" t="s">
        <v>325</v>
      </c>
      <c r="AQ58" s="24"/>
      <c r="AR58" s="36" t="s">
        <v>324</v>
      </c>
      <c r="AS58" s="24"/>
      <c r="AT58" s="24"/>
      <c r="AU58" s="24" t="s">
        <v>325</v>
      </c>
    </row>
    <row r="59" spans="1:47">
      <c r="A59" s="15">
        <v>53</v>
      </c>
      <c r="B59" s="16" t="s">
        <v>133</v>
      </c>
      <c r="C59" s="17" t="s">
        <v>115</v>
      </c>
      <c r="D59" s="19" t="s">
        <v>293</v>
      </c>
      <c r="E59" s="15" t="s">
        <v>166</v>
      </c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 t="s">
        <v>446</v>
      </c>
      <c r="AG59" s="24"/>
      <c r="AH59" s="33"/>
      <c r="AI59" s="24" t="s">
        <v>324</v>
      </c>
      <c r="AJ59" s="24"/>
      <c r="AK59" s="24"/>
      <c r="AL59" s="24" t="s">
        <v>323</v>
      </c>
      <c r="AM59" s="40" t="s">
        <v>325</v>
      </c>
      <c r="AN59" s="24"/>
      <c r="AO59" s="24" t="s">
        <v>323</v>
      </c>
      <c r="AP59" s="24" t="s">
        <v>325</v>
      </c>
      <c r="AQ59" s="24"/>
      <c r="AR59" s="36" t="s">
        <v>324</v>
      </c>
      <c r="AS59" s="24"/>
      <c r="AT59" s="24"/>
      <c r="AU59" s="24" t="s">
        <v>323</v>
      </c>
    </row>
    <row r="60" spans="1:47" hidden="1">
      <c r="A60" s="15">
        <v>54</v>
      </c>
      <c r="B60" s="16" t="s">
        <v>133</v>
      </c>
      <c r="C60" s="35" t="s">
        <v>116</v>
      </c>
      <c r="D60" s="18">
        <v>173920804</v>
      </c>
      <c r="E60" s="15" t="s">
        <v>178</v>
      </c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33"/>
      <c r="AI60" s="24"/>
      <c r="AJ60" s="24" t="s">
        <v>324</v>
      </c>
      <c r="AK60" s="24"/>
      <c r="AL60" s="24"/>
      <c r="AM60" s="40"/>
      <c r="AN60" s="24"/>
      <c r="AO60" s="24"/>
      <c r="AP60" s="24"/>
      <c r="AQ60" s="24"/>
      <c r="AR60" s="36"/>
      <c r="AS60" s="24"/>
      <c r="AT60" s="24"/>
      <c r="AU60" s="24"/>
    </row>
    <row r="61" spans="1:47" hidden="1">
      <c r="A61" s="15">
        <v>55</v>
      </c>
      <c r="B61" s="16" t="s">
        <v>133</v>
      </c>
      <c r="C61" s="35" t="s">
        <v>117</v>
      </c>
      <c r="D61" s="18">
        <v>173920704</v>
      </c>
      <c r="E61" s="15" t="s">
        <v>178</v>
      </c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33"/>
      <c r="AI61" s="24"/>
      <c r="AJ61" s="24"/>
      <c r="AK61" s="24"/>
      <c r="AL61" s="24"/>
      <c r="AM61" s="40"/>
      <c r="AN61" s="24"/>
      <c r="AO61" s="24"/>
      <c r="AP61" s="24"/>
      <c r="AQ61" s="24"/>
      <c r="AR61" s="36"/>
      <c r="AS61" s="24"/>
      <c r="AT61" s="24"/>
      <c r="AU61" s="24"/>
    </row>
    <row r="62" spans="1:47" hidden="1">
      <c r="A62" s="15">
        <v>56</v>
      </c>
      <c r="B62" s="16" t="s">
        <v>133</v>
      </c>
      <c r="C62" s="35" t="s">
        <v>118</v>
      </c>
      <c r="D62" s="18">
        <v>173786101</v>
      </c>
      <c r="E62" s="15" t="s">
        <v>178</v>
      </c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33"/>
      <c r="AI62" s="24"/>
      <c r="AJ62" s="24" t="s">
        <v>324</v>
      </c>
      <c r="AK62" s="24"/>
      <c r="AL62" s="24"/>
      <c r="AM62" s="40"/>
      <c r="AN62" s="24"/>
      <c r="AO62" s="24"/>
      <c r="AP62" s="24"/>
      <c r="AQ62" s="24"/>
      <c r="AR62" s="36"/>
      <c r="AS62" s="24"/>
      <c r="AT62" s="24"/>
      <c r="AU62" s="24"/>
    </row>
    <row r="63" spans="1:47">
      <c r="A63" s="15">
        <v>57</v>
      </c>
      <c r="B63" s="16" t="s">
        <v>133</v>
      </c>
      <c r="C63" s="17" t="s">
        <v>50</v>
      </c>
      <c r="D63" s="19" t="s">
        <v>375</v>
      </c>
      <c r="E63" s="15" t="s">
        <v>167</v>
      </c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 t="s">
        <v>442</v>
      </c>
      <c r="AG63" s="24"/>
      <c r="AH63" s="33"/>
      <c r="AI63" s="24"/>
      <c r="AJ63" s="24"/>
      <c r="AK63" s="24"/>
      <c r="AL63" s="24"/>
      <c r="AM63" s="40"/>
      <c r="AN63" s="24"/>
      <c r="AO63" s="24"/>
      <c r="AP63" s="24"/>
      <c r="AQ63" s="24"/>
      <c r="AR63" s="36"/>
      <c r="AS63" s="24"/>
      <c r="AT63" s="24"/>
      <c r="AU63" s="24"/>
    </row>
    <row r="64" spans="1:47" hidden="1">
      <c r="A64" s="15">
        <v>58</v>
      </c>
      <c r="B64" s="16" t="s">
        <v>143</v>
      </c>
      <c r="C64" s="35" t="s">
        <v>87</v>
      </c>
      <c r="D64" s="18">
        <v>166702400</v>
      </c>
      <c r="E64" s="15" t="s">
        <v>168</v>
      </c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33"/>
      <c r="AI64" s="24"/>
      <c r="AJ64" s="24"/>
      <c r="AK64" s="24"/>
      <c r="AL64" s="24"/>
      <c r="AM64" s="40"/>
      <c r="AN64" s="24"/>
      <c r="AO64" s="24"/>
      <c r="AP64" s="24"/>
      <c r="AQ64" s="24"/>
      <c r="AR64" s="36"/>
      <c r="AS64" s="24"/>
      <c r="AT64" s="24"/>
      <c r="AU64" s="24"/>
    </row>
    <row r="65" spans="1:47" hidden="1">
      <c r="A65" s="15">
        <v>59</v>
      </c>
      <c r="B65" s="16" t="s">
        <v>143</v>
      </c>
      <c r="C65" s="35" t="s">
        <v>88</v>
      </c>
      <c r="D65" s="18">
        <v>166702300</v>
      </c>
      <c r="E65" s="15" t="s">
        <v>168</v>
      </c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33"/>
      <c r="AI65" s="24"/>
      <c r="AJ65" s="24"/>
      <c r="AK65" s="24"/>
      <c r="AL65" s="24"/>
      <c r="AM65" s="40"/>
      <c r="AN65" s="24"/>
      <c r="AO65" s="24"/>
      <c r="AP65" s="24"/>
      <c r="AQ65" s="24"/>
      <c r="AR65" s="36"/>
      <c r="AS65" s="24"/>
      <c r="AT65" s="24"/>
      <c r="AU65" s="24"/>
    </row>
    <row r="66" spans="1:47" hidden="1">
      <c r="A66" s="15">
        <v>60</v>
      </c>
      <c r="B66" s="16" t="s">
        <v>143</v>
      </c>
      <c r="C66" s="35" t="s">
        <v>89</v>
      </c>
      <c r="D66" s="38">
        <v>169023500</v>
      </c>
      <c r="E66" s="15" t="s">
        <v>168</v>
      </c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33"/>
      <c r="AI66" s="24"/>
      <c r="AJ66" s="24"/>
      <c r="AK66" s="24"/>
      <c r="AL66" s="24"/>
      <c r="AM66" s="40"/>
      <c r="AN66" s="24"/>
      <c r="AO66" s="24"/>
      <c r="AP66" s="24"/>
      <c r="AQ66" s="24"/>
      <c r="AR66" s="36"/>
      <c r="AS66" s="24"/>
      <c r="AT66" s="24"/>
      <c r="AU66" s="24"/>
    </row>
    <row r="67" spans="1:47" hidden="1">
      <c r="A67" s="15">
        <v>61</v>
      </c>
      <c r="B67" s="16" t="s">
        <v>143</v>
      </c>
      <c r="C67" s="35" t="s">
        <v>90</v>
      </c>
      <c r="D67" s="38">
        <v>169023400</v>
      </c>
      <c r="E67" s="15" t="s">
        <v>168</v>
      </c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33"/>
      <c r="AI67" s="24"/>
      <c r="AJ67" s="24"/>
      <c r="AK67" s="24"/>
      <c r="AL67" s="24"/>
      <c r="AM67" s="40"/>
      <c r="AN67" s="24"/>
      <c r="AO67" s="24"/>
      <c r="AP67" s="24"/>
      <c r="AQ67" s="24"/>
      <c r="AR67" s="36"/>
      <c r="AS67" s="24"/>
      <c r="AT67" s="24"/>
      <c r="AU67" s="24"/>
    </row>
    <row r="68" spans="1:47">
      <c r="A68" s="15">
        <v>62</v>
      </c>
      <c r="B68" s="16" t="s">
        <v>143</v>
      </c>
      <c r="C68" s="20" t="s">
        <v>150</v>
      </c>
      <c r="D68" s="19" t="s">
        <v>357</v>
      </c>
      <c r="E68" s="15" t="s">
        <v>168</v>
      </c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 t="s">
        <v>452</v>
      </c>
      <c r="AG68" s="24"/>
      <c r="AH68" s="33"/>
      <c r="AI68" s="24"/>
      <c r="AJ68" s="24"/>
      <c r="AK68" s="24"/>
      <c r="AL68" s="24" t="s">
        <v>325</v>
      </c>
      <c r="AM68" s="40"/>
      <c r="AN68" s="24"/>
      <c r="AO68" s="24"/>
      <c r="AP68" s="24"/>
      <c r="AQ68" s="24"/>
      <c r="AR68" s="36" t="s">
        <v>324</v>
      </c>
      <c r="AS68" s="24"/>
      <c r="AT68" s="24"/>
      <c r="AU68" s="24"/>
    </row>
    <row r="69" spans="1:47">
      <c r="A69" s="15">
        <v>63</v>
      </c>
      <c r="B69" s="16" t="s">
        <v>143</v>
      </c>
      <c r="C69" s="23" t="s">
        <v>151</v>
      </c>
      <c r="D69" s="19" t="s">
        <v>399</v>
      </c>
      <c r="E69" s="15" t="s">
        <v>168</v>
      </c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 t="s">
        <v>452</v>
      </c>
      <c r="AG69" s="24"/>
      <c r="AH69" s="33"/>
      <c r="AI69" s="24"/>
      <c r="AJ69" s="24"/>
      <c r="AK69" s="24"/>
      <c r="AL69" s="24" t="s">
        <v>325</v>
      </c>
      <c r="AM69" s="40"/>
      <c r="AN69" s="24"/>
      <c r="AO69" s="24"/>
      <c r="AP69" s="24"/>
      <c r="AQ69" s="24"/>
      <c r="AR69" s="36" t="s">
        <v>324</v>
      </c>
      <c r="AS69" s="24"/>
      <c r="AT69" s="24"/>
      <c r="AU69" s="24"/>
    </row>
    <row r="70" spans="1:47">
      <c r="A70" s="15">
        <v>64</v>
      </c>
      <c r="B70" s="16" t="s">
        <v>143</v>
      </c>
      <c r="C70" s="20" t="s">
        <v>152</v>
      </c>
      <c r="D70" s="19" t="s">
        <v>262</v>
      </c>
      <c r="E70" s="15" t="s">
        <v>168</v>
      </c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 t="s">
        <v>452</v>
      </c>
      <c r="AG70" s="24"/>
      <c r="AH70" s="33"/>
      <c r="AI70" s="24" t="s">
        <v>325</v>
      </c>
      <c r="AJ70" s="24" t="s">
        <v>324</v>
      </c>
      <c r="AK70" s="24" t="s">
        <v>323</v>
      </c>
      <c r="AL70" s="24" t="s">
        <v>324</v>
      </c>
      <c r="AM70" s="40" t="s">
        <v>325</v>
      </c>
      <c r="AN70" s="24"/>
      <c r="AO70" s="24" t="s">
        <v>324</v>
      </c>
      <c r="AP70" s="24" t="s">
        <v>324</v>
      </c>
      <c r="AQ70" s="24"/>
      <c r="AR70" s="36" t="s">
        <v>325</v>
      </c>
      <c r="AS70" s="24"/>
      <c r="AT70" s="24"/>
      <c r="AU70" s="24" t="s">
        <v>324</v>
      </c>
    </row>
    <row r="71" spans="1:47">
      <c r="A71" s="15">
        <v>65</v>
      </c>
      <c r="B71" s="16" t="s">
        <v>143</v>
      </c>
      <c r="C71" s="20" t="s">
        <v>153</v>
      </c>
      <c r="D71" s="19" t="s">
        <v>265</v>
      </c>
      <c r="E71" s="15" t="s">
        <v>168</v>
      </c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 t="s">
        <v>452</v>
      </c>
      <c r="AG71" s="24"/>
      <c r="AH71" s="33"/>
      <c r="AI71" s="24" t="s">
        <v>325</v>
      </c>
      <c r="AJ71" s="24" t="s">
        <v>324</v>
      </c>
      <c r="AK71" s="24" t="s">
        <v>323</v>
      </c>
      <c r="AL71" s="24" t="s">
        <v>324</v>
      </c>
      <c r="AM71" s="40" t="s">
        <v>325</v>
      </c>
      <c r="AN71" s="24"/>
      <c r="AO71" s="24" t="s">
        <v>324</v>
      </c>
      <c r="AP71" s="24" t="s">
        <v>325</v>
      </c>
      <c r="AQ71" s="24"/>
      <c r="AR71" s="36" t="s">
        <v>325</v>
      </c>
      <c r="AS71" s="24"/>
      <c r="AT71" s="24"/>
      <c r="AU71" s="24" t="s">
        <v>324</v>
      </c>
    </row>
    <row r="72" spans="1:47">
      <c r="A72" s="15">
        <v>66</v>
      </c>
      <c r="B72" s="16" t="s">
        <v>143</v>
      </c>
      <c r="C72" s="20" t="s">
        <v>154</v>
      </c>
      <c r="D72" s="19" t="s">
        <v>264</v>
      </c>
      <c r="E72" s="15" t="s">
        <v>168</v>
      </c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 t="s">
        <v>452</v>
      </c>
      <c r="AG72" s="24"/>
      <c r="AH72" s="33"/>
      <c r="AI72" s="24" t="s">
        <v>372</v>
      </c>
      <c r="AJ72" s="24"/>
      <c r="AK72" s="24" t="s">
        <v>323</v>
      </c>
      <c r="AL72" s="24" t="s">
        <v>324</v>
      </c>
      <c r="AM72" s="40" t="s">
        <v>324</v>
      </c>
      <c r="AN72" s="24"/>
      <c r="AO72" s="24" t="s">
        <v>324</v>
      </c>
      <c r="AP72" s="24" t="s">
        <v>325</v>
      </c>
      <c r="AQ72" s="24"/>
      <c r="AR72" s="36" t="s">
        <v>324</v>
      </c>
      <c r="AS72" s="24" t="s">
        <v>324</v>
      </c>
      <c r="AT72" s="24"/>
      <c r="AU72" s="24" t="s">
        <v>324</v>
      </c>
    </row>
    <row r="73" spans="1:47">
      <c r="A73" s="15">
        <v>67</v>
      </c>
      <c r="B73" s="16" t="s">
        <v>143</v>
      </c>
      <c r="C73" s="20" t="s">
        <v>155</v>
      </c>
      <c r="D73" s="19" t="s">
        <v>267</v>
      </c>
      <c r="E73" s="15" t="s">
        <v>168</v>
      </c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 t="s">
        <v>452</v>
      </c>
      <c r="AG73" s="24"/>
      <c r="AH73" s="33"/>
      <c r="AI73" s="24" t="s">
        <v>324</v>
      </c>
      <c r="AJ73" s="24" t="s">
        <v>323</v>
      </c>
      <c r="AK73" s="24" t="s">
        <v>323</v>
      </c>
      <c r="AL73" s="24" t="s">
        <v>324</v>
      </c>
      <c r="AM73" s="40" t="s">
        <v>325</v>
      </c>
      <c r="AN73" s="24"/>
      <c r="AO73" s="24" t="s">
        <v>325</v>
      </c>
      <c r="AP73" s="24" t="s">
        <v>325</v>
      </c>
      <c r="AQ73" s="24"/>
      <c r="AR73" s="36" t="s">
        <v>325</v>
      </c>
      <c r="AS73" s="24" t="s">
        <v>324</v>
      </c>
      <c r="AT73" s="24"/>
      <c r="AU73" s="24" t="s">
        <v>325</v>
      </c>
    </row>
    <row r="74" spans="1:47" hidden="1">
      <c r="A74" s="15">
        <v>68</v>
      </c>
      <c r="B74" s="37" t="s">
        <v>125</v>
      </c>
      <c r="C74" s="35" t="s">
        <v>7</v>
      </c>
      <c r="D74" s="44">
        <v>190946700</v>
      </c>
      <c r="E74" s="15" t="s">
        <v>167</v>
      </c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33"/>
      <c r="AI74" s="24"/>
      <c r="AJ74" s="24"/>
      <c r="AK74" s="24"/>
      <c r="AL74" s="24"/>
      <c r="AM74" s="40"/>
      <c r="AN74" s="24"/>
      <c r="AO74" s="24"/>
      <c r="AP74" s="24"/>
      <c r="AQ74" s="24"/>
      <c r="AR74" s="36"/>
      <c r="AS74" s="24"/>
      <c r="AT74" s="24"/>
      <c r="AU74" s="24"/>
    </row>
    <row r="75" spans="1:47" hidden="1">
      <c r="A75" s="15">
        <v>69</v>
      </c>
      <c r="B75" s="16" t="s">
        <v>125</v>
      </c>
      <c r="C75" s="35" t="s">
        <v>8</v>
      </c>
      <c r="D75" s="18">
        <v>190946600</v>
      </c>
      <c r="E75" s="15" t="s">
        <v>167</v>
      </c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33"/>
      <c r="AI75" s="24"/>
      <c r="AJ75" s="24"/>
      <c r="AK75" s="24"/>
      <c r="AL75" s="24"/>
      <c r="AM75" s="40"/>
      <c r="AN75" s="24"/>
      <c r="AO75" s="24"/>
      <c r="AP75" s="24"/>
      <c r="AQ75" s="24"/>
      <c r="AR75" s="36"/>
      <c r="AS75" s="24"/>
      <c r="AT75" s="24"/>
      <c r="AU75" s="24"/>
    </row>
    <row r="76" spans="1:47">
      <c r="A76" s="15">
        <v>70</v>
      </c>
      <c r="B76" s="16" t="s">
        <v>125</v>
      </c>
      <c r="C76" s="20" t="s">
        <v>13</v>
      </c>
      <c r="D76" s="19" t="s">
        <v>321</v>
      </c>
      <c r="E76" s="15" t="s">
        <v>166</v>
      </c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 t="s">
        <v>448</v>
      </c>
      <c r="AG76" s="24"/>
      <c r="AH76" s="33"/>
      <c r="AI76" s="24" t="s">
        <v>323</v>
      </c>
      <c r="AJ76" s="24"/>
      <c r="AK76" s="24"/>
      <c r="AL76" s="24" t="s">
        <v>325</v>
      </c>
      <c r="AM76" s="40"/>
      <c r="AN76" s="24"/>
      <c r="AO76" s="24"/>
      <c r="AP76" s="24"/>
      <c r="AQ76" s="24"/>
      <c r="AR76" s="36" t="s">
        <v>324</v>
      </c>
      <c r="AS76" s="24"/>
      <c r="AT76" s="24"/>
      <c r="AU76" s="24"/>
    </row>
    <row r="77" spans="1:47">
      <c r="A77" s="15">
        <v>71</v>
      </c>
      <c r="B77" s="16" t="s">
        <v>125</v>
      </c>
      <c r="C77" s="20" t="s">
        <v>156</v>
      </c>
      <c r="D77" s="18">
        <v>190338701</v>
      </c>
      <c r="E77" s="15" t="s">
        <v>167</v>
      </c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 t="s">
        <v>451</v>
      </c>
      <c r="AG77" s="24"/>
      <c r="AH77" s="33"/>
      <c r="AI77" s="24"/>
      <c r="AJ77" s="24"/>
      <c r="AK77" s="24"/>
      <c r="AL77" s="24"/>
      <c r="AM77" s="40"/>
      <c r="AN77" s="24"/>
      <c r="AO77" s="24"/>
      <c r="AP77" s="24" t="s">
        <v>325</v>
      </c>
      <c r="AQ77" s="24"/>
      <c r="AR77" s="36"/>
      <c r="AS77" s="24"/>
      <c r="AT77" s="24"/>
      <c r="AU77" s="24"/>
    </row>
    <row r="78" spans="1:47">
      <c r="A78" s="15">
        <v>72</v>
      </c>
      <c r="B78" s="16" t="s">
        <v>125</v>
      </c>
      <c r="C78" s="42" t="s">
        <v>157</v>
      </c>
      <c r="D78" s="18">
        <v>191571400</v>
      </c>
      <c r="E78" s="15" t="s">
        <v>167</v>
      </c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 t="s">
        <v>450</v>
      </c>
      <c r="AG78" s="24" t="s">
        <v>323</v>
      </c>
      <c r="AH78" s="33"/>
      <c r="AI78" s="24" t="s">
        <v>325</v>
      </c>
      <c r="AJ78" s="24"/>
      <c r="AK78" s="24"/>
      <c r="AL78" s="24"/>
      <c r="AM78" s="40"/>
      <c r="AN78" s="24"/>
      <c r="AO78" s="24"/>
      <c r="AP78" s="24" t="s">
        <v>324</v>
      </c>
      <c r="AQ78" s="24"/>
      <c r="AR78" s="36"/>
      <c r="AS78" s="24"/>
      <c r="AT78" s="24"/>
      <c r="AU78" s="24"/>
    </row>
    <row r="79" spans="1:47">
      <c r="A79" s="15">
        <v>73</v>
      </c>
      <c r="B79" s="16" t="s">
        <v>125</v>
      </c>
      <c r="C79" s="20" t="s">
        <v>158</v>
      </c>
      <c r="D79" s="19" t="s">
        <v>240</v>
      </c>
      <c r="E79" s="15" t="s">
        <v>167</v>
      </c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 t="s">
        <v>452</v>
      </c>
      <c r="AG79" s="24"/>
      <c r="AH79" s="33"/>
      <c r="AI79" s="24" t="s">
        <v>325</v>
      </c>
      <c r="AJ79" s="24"/>
      <c r="AK79" s="24" t="s">
        <v>325</v>
      </c>
      <c r="AL79" s="24"/>
      <c r="AM79" s="40"/>
      <c r="AN79" s="24"/>
      <c r="AO79" s="24"/>
      <c r="AP79" s="24" t="s">
        <v>325</v>
      </c>
      <c r="AQ79" s="24"/>
      <c r="AR79" s="36"/>
      <c r="AS79" s="24"/>
      <c r="AT79" s="24"/>
      <c r="AU79" s="24"/>
    </row>
    <row r="80" spans="1:47">
      <c r="A80" s="15">
        <v>74</v>
      </c>
      <c r="B80" s="16" t="s">
        <v>125</v>
      </c>
      <c r="C80" s="20" t="s">
        <v>159</v>
      </c>
      <c r="D80" s="19" t="s">
        <v>258</v>
      </c>
      <c r="E80" s="15" t="s">
        <v>176</v>
      </c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 t="s">
        <v>450</v>
      </c>
      <c r="AG80" s="24"/>
      <c r="AH80" s="33"/>
      <c r="AI80" s="24" t="s">
        <v>323</v>
      </c>
      <c r="AJ80" s="24"/>
      <c r="AK80" s="24"/>
      <c r="AL80" s="24"/>
      <c r="AM80" s="40"/>
      <c r="AN80" s="24"/>
      <c r="AO80" s="24"/>
      <c r="AP80" s="24"/>
      <c r="AQ80" s="24"/>
      <c r="AR80" s="36" t="s">
        <v>324</v>
      </c>
      <c r="AS80" s="24"/>
      <c r="AT80" s="24"/>
      <c r="AU80" s="24"/>
    </row>
    <row r="81" spans="1:47">
      <c r="A81" s="15">
        <v>75</v>
      </c>
      <c r="B81" s="16" t="s">
        <v>132</v>
      </c>
      <c r="C81" s="17" t="s">
        <v>64</v>
      </c>
      <c r="D81" s="19" t="s">
        <v>315</v>
      </c>
      <c r="E81" s="15" t="s">
        <v>168</v>
      </c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 t="s">
        <v>448</v>
      </c>
      <c r="AG81" s="24"/>
      <c r="AH81" s="33"/>
      <c r="AI81" s="24" t="s">
        <v>325</v>
      </c>
      <c r="AJ81" s="24" t="s">
        <v>325</v>
      </c>
      <c r="AK81" s="24" t="s">
        <v>324</v>
      </c>
      <c r="AL81" s="24" t="s">
        <v>324</v>
      </c>
      <c r="AM81" s="40" t="s">
        <v>324</v>
      </c>
      <c r="AN81" s="24"/>
      <c r="AO81" s="24" t="s">
        <v>325</v>
      </c>
      <c r="AP81" s="24"/>
      <c r="AQ81" s="24"/>
      <c r="AR81" s="36" t="s">
        <v>324</v>
      </c>
      <c r="AS81" s="24" t="s">
        <v>324</v>
      </c>
      <c r="AT81" s="24"/>
      <c r="AU81" s="24" t="s">
        <v>325</v>
      </c>
    </row>
    <row r="82" spans="1:47">
      <c r="A82" s="15">
        <v>76</v>
      </c>
      <c r="B82" s="16" t="s">
        <v>132</v>
      </c>
      <c r="C82" s="17" t="s">
        <v>65</v>
      </c>
      <c r="D82" s="19" t="s">
        <v>316</v>
      </c>
      <c r="E82" s="15" t="s">
        <v>168</v>
      </c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 t="s">
        <v>448</v>
      </c>
      <c r="AG82" s="24"/>
      <c r="AH82" s="33"/>
      <c r="AI82" s="24" t="s">
        <v>324</v>
      </c>
      <c r="AJ82" s="24" t="s">
        <v>325</v>
      </c>
      <c r="AK82" s="24" t="s">
        <v>324</v>
      </c>
      <c r="AL82" s="24" t="s">
        <v>324</v>
      </c>
      <c r="AM82" s="40" t="s">
        <v>324</v>
      </c>
      <c r="AN82" s="24"/>
      <c r="AO82" s="24" t="s">
        <v>325</v>
      </c>
      <c r="AP82" s="24" t="s">
        <v>324</v>
      </c>
      <c r="AQ82" s="24"/>
      <c r="AR82" s="36" t="s">
        <v>324</v>
      </c>
      <c r="AS82" s="24" t="s">
        <v>324</v>
      </c>
      <c r="AT82" s="24"/>
      <c r="AU82" s="24" t="s">
        <v>325</v>
      </c>
    </row>
    <row r="83" spans="1:47">
      <c r="A83" s="15">
        <v>77</v>
      </c>
      <c r="B83" s="16" t="s">
        <v>132</v>
      </c>
      <c r="C83" s="17" t="s">
        <v>66</v>
      </c>
      <c r="D83" s="21" t="s">
        <v>237</v>
      </c>
      <c r="E83" s="15" t="s">
        <v>168</v>
      </c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 t="s">
        <v>448</v>
      </c>
      <c r="AG83" s="24"/>
      <c r="AH83" s="33"/>
      <c r="AI83" s="24"/>
      <c r="AJ83" s="24" t="s">
        <v>325</v>
      </c>
      <c r="AK83" s="24" t="s">
        <v>324</v>
      </c>
      <c r="AL83" s="24" t="s">
        <v>324</v>
      </c>
      <c r="AM83" s="40"/>
      <c r="AN83" s="24"/>
      <c r="AO83" s="24"/>
      <c r="AP83" s="24"/>
      <c r="AQ83" s="24"/>
      <c r="AR83" s="36" t="s">
        <v>324</v>
      </c>
      <c r="AS83" s="24" t="s">
        <v>324</v>
      </c>
      <c r="AT83" s="24"/>
      <c r="AU83" s="24"/>
    </row>
    <row r="84" spans="1:47">
      <c r="A84" s="15">
        <v>78</v>
      </c>
      <c r="B84" s="16" t="s">
        <v>132</v>
      </c>
      <c r="C84" s="25" t="s">
        <v>67</v>
      </c>
      <c r="D84" s="19" t="s">
        <v>368</v>
      </c>
      <c r="E84" s="15" t="s">
        <v>168</v>
      </c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 t="s">
        <v>448</v>
      </c>
      <c r="AG84" s="24"/>
      <c r="AH84" s="33"/>
      <c r="AI84" s="24"/>
      <c r="AJ84" s="24" t="s">
        <v>325</v>
      </c>
      <c r="AK84" s="24"/>
      <c r="AL84" s="24" t="s">
        <v>324</v>
      </c>
      <c r="AM84" s="40"/>
      <c r="AN84" s="24"/>
      <c r="AO84" s="24"/>
      <c r="AP84" s="24"/>
      <c r="AQ84" s="24"/>
      <c r="AR84" s="36" t="s">
        <v>324</v>
      </c>
      <c r="AS84" s="24" t="s">
        <v>324</v>
      </c>
      <c r="AT84" s="24"/>
      <c r="AU84" s="24"/>
    </row>
    <row r="85" spans="1:47">
      <c r="A85" s="15">
        <v>79</v>
      </c>
      <c r="B85" s="16" t="s">
        <v>132</v>
      </c>
      <c r="C85" s="17" t="s">
        <v>68</v>
      </c>
      <c r="D85" s="19" t="s">
        <v>319</v>
      </c>
      <c r="E85" s="15" t="s">
        <v>168</v>
      </c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 t="s">
        <v>448</v>
      </c>
      <c r="AG85" s="24"/>
      <c r="AH85" s="33"/>
      <c r="AI85" s="24"/>
      <c r="AJ85" s="24" t="s">
        <v>325</v>
      </c>
      <c r="AK85" s="24" t="s">
        <v>324</v>
      </c>
      <c r="AL85" s="24" t="s">
        <v>324</v>
      </c>
      <c r="AM85" s="40"/>
      <c r="AN85" s="24"/>
      <c r="AO85" s="24"/>
      <c r="AP85" s="24"/>
      <c r="AQ85" s="24"/>
      <c r="AR85" s="36"/>
      <c r="AS85" s="24" t="s">
        <v>324</v>
      </c>
      <c r="AT85" s="24"/>
      <c r="AU85" s="24"/>
    </row>
    <row r="86" spans="1:47">
      <c r="A86" s="15">
        <v>80</v>
      </c>
      <c r="B86" s="16" t="s">
        <v>132</v>
      </c>
      <c r="C86" s="17" t="s">
        <v>69</v>
      </c>
      <c r="D86" s="21" t="s">
        <v>234</v>
      </c>
      <c r="E86" s="15" t="s">
        <v>168</v>
      </c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 t="s">
        <v>448</v>
      </c>
      <c r="AG86" s="24"/>
      <c r="AH86" s="33"/>
      <c r="AI86" s="24"/>
      <c r="AJ86" s="24" t="s">
        <v>325</v>
      </c>
      <c r="AK86" s="24" t="s">
        <v>324</v>
      </c>
      <c r="AL86" s="24" t="s">
        <v>324</v>
      </c>
      <c r="AM86" s="40"/>
      <c r="AN86" s="24"/>
      <c r="AO86" s="24"/>
      <c r="AP86" s="24" t="s">
        <v>324</v>
      </c>
      <c r="AQ86" s="24"/>
      <c r="AR86" s="36"/>
      <c r="AS86" s="24" t="s">
        <v>324</v>
      </c>
      <c r="AT86" s="24"/>
      <c r="AU86" s="24"/>
    </row>
    <row r="87" spans="1:47">
      <c r="A87" s="15">
        <v>81</v>
      </c>
      <c r="B87" s="16" t="s">
        <v>132</v>
      </c>
      <c r="C87" s="17" t="s">
        <v>70</v>
      </c>
      <c r="D87" s="21" t="s">
        <v>228</v>
      </c>
      <c r="E87" s="15" t="s">
        <v>168</v>
      </c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 t="s">
        <v>448</v>
      </c>
      <c r="AG87" s="24"/>
      <c r="AH87" s="33"/>
      <c r="AI87" s="24"/>
      <c r="AJ87" s="24" t="s">
        <v>325</v>
      </c>
      <c r="AK87" s="24" t="s">
        <v>324</v>
      </c>
      <c r="AL87" s="24" t="s">
        <v>324</v>
      </c>
      <c r="AM87" s="40" t="s">
        <v>324</v>
      </c>
      <c r="AN87" s="24"/>
      <c r="AO87" s="24" t="s">
        <v>325</v>
      </c>
      <c r="AP87" s="24" t="s">
        <v>324</v>
      </c>
      <c r="AQ87" s="24"/>
      <c r="AR87" s="36"/>
      <c r="AS87" s="24" t="s">
        <v>324</v>
      </c>
      <c r="AT87" s="24"/>
      <c r="AU87" s="24" t="s">
        <v>325</v>
      </c>
    </row>
    <row r="88" spans="1:47">
      <c r="A88" s="15">
        <v>82</v>
      </c>
      <c r="B88" s="16" t="s">
        <v>132</v>
      </c>
      <c r="C88" s="17" t="s">
        <v>71</v>
      </c>
      <c r="D88" s="19" t="s">
        <v>218</v>
      </c>
      <c r="E88" s="15" t="s">
        <v>168</v>
      </c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 t="s">
        <v>448</v>
      </c>
      <c r="AG88" s="24"/>
      <c r="AH88" s="33"/>
      <c r="AI88" s="24" t="s">
        <v>324</v>
      </c>
      <c r="AJ88" s="24" t="s">
        <v>324</v>
      </c>
      <c r="AK88" s="24" t="s">
        <v>324</v>
      </c>
      <c r="AL88" s="24" t="s">
        <v>324</v>
      </c>
      <c r="AM88" s="40" t="s">
        <v>324</v>
      </c>
      <c r="AN88" s="24"/>
      <c r="AO88" s="24" t="s">
        <v>324</v>
      </c>
      <c r="AP88" s="24"/>
      <c r="AQ88" s="24"/>
      <c r="AR88" s="36"/>
      <c r="AS88" s="24" t="s">
        <v>324</v>
      </c>
      <c r="AT88" s="24"/>
      <c r="AU88" s="24" t="s">
        <v>324</v>
      </c>
    </row>
    <row r="89" spans="1:47">
      <c r="A89" s="15">
        <v>83</v>
      </c>
      <c r="B89" s="16" t="s">
        <v>132</v>
      </c>
      <c r="C89" s="17" t="s">
        <v>72</v>
      </c>
      <c r="D89" s="21" t="s">
        <v>233</v>
      </c>
      <c r="E89" s="15" t="s">
        <v>168</v>
      </c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 t="s">
        <v>448</v>
      </c>
      <c r="AG89" s="24"/>
      <c r="AH89" s="33"/>
      <c r="AI89" s="24" t="s">
        <v>325</v>
      </c>
      <c r="AJ89" s="24" t="s">
        <v>324</v>
      </c>
      <c r="AK89" s="24" t="s">
        <v>324</v>
      </c>
      <c r="AL89" s="24" t="s">
        <v>324</v>
      </c>
      <c r="AM89" s="40" t="s">
        <v>324</v>
      </c>
      <c r="AN89" s="24"/>
      <c r="AO89" s="24" t="s">
        <v>324</v>
      </c>
      <c r="AP89" s="24" t="s">
        <v>325</v>
      </c>
      <c r="AQ89" s="24"/>
      <c r="AR89" s="36"/>
      <c r="AS89" s="24" t="s">
        <v>324</v>
      </c>
      <c r="AT89" s="24"/>
      <c r="AU89" s="24" t="s">
        <v>324</v>
      </c>
    </row>
    <row r="90" spans="1:47">
      <c r="A90" s="15">
        <v>84</v>
      </c>
      <c r="B90" s="16" t="s">
        <v>132</v>
      </c>
      <c r="C90" s="17" t="s">
        <v>73</v>
      </c>
      <c r="D90" s="19" t="s">
        <v>220</v>
      </c>
      <c r="E90" s="15" t="s">
        <v>168</v>
      </c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 t="s">
        <v>448</v>
      </c>
      <c r="AG90" s="24"/>
      <c r="AH90" s="33"/>
      <c r="AI90" s="24"/>
      <c r="AJ90" s="24" t="s">
        <v>324</v>
      </c>
      <c r="AK90" s="24" t="s">
        <v>324</v>
      </c>
      <c r="AL90" s="24" t="s">
        <v>324</v>
      </c>
      <c r="AM90" s="40" t="s">
        <v>324</v>
      </c>
      <c r="AN90" s="24"/>
      <c r="AO90" s="24"/>
      <c r="AP90" s="24" t="s">
        <v>325</v>
      </c>
      <c r="AQ90" s="24"/>
      <c r="AR90" s="36"/>
      <c r="AS90" s="24" t="s">
        <v>324</v>
      </c>
      <c r="AT90" s="24"/>
      <c r="AU90" s="24"/>
    </row>
    <row r="91" spans="1:47">
      <c r="A91" s="15">
        <v>85</v>
      </c>
      <c r="B91" s="16" t="s">
        <v>132</v>
      </c>
      <c r="C91" s="17" t="s">
        <v>74</v>
      </c>
      <c r="D91" s="19" t="s">
        <v>307</v>
      </c>
      <c r="E91" s="15" t="s">
        <v>168</v>
      </c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 t="s">
        <v>448</v>
      </c>
      <c r="AG91" s="24"/>
      <c r="AH91" s="33"/>
      <c r="AI91" s="24"/>
      <c r="AJ91" s="24" t="s">
        <v>324</v>
      </c>
      <c r="AK91" s="24" t="s">
        <v>324</v>
      </c>
      <c r="AL91" s="24" t="s">
        <v>324</v>
      </c>
      <c r="AM91" s="40"/>
      <c r="AN91" s="24"/>
      <c r="AO91" s="24" t="s">
        <v>324</v>
      </c>
      <c r="AP91" s="24" t="s">
        <v>325</v>
      </c>
      <c r="AQ91" s="24"/>
      <c r="AR91" s="36"/>
      <c r="AS91" s="24" t="s">
        <v>324</v>
      </c>
      <c r="AT91" s="24"/>
      <c r="AU91" s="24" t="s">
        <v>324</v>
      </c>
    </row>
    <row r="92" spans="1:47">
      <c r="A92" s="15">
        <v>86</v>
      </c>
      <c r="B92" s="16" t="s">
        <v>132</v>
      </c>
      <c r="C92" s="17" t="s">
        <v>75</v>
      </c>
      <c r="D92" s="19" t="s">
        <v>221</v>
      </c>
      <c r="E92" s="15" t="s">
        <v>168</v>
      </c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 t="s">
        <v>448</v>
      </c>
      <c r="AG92" s="24"/>
      <c r="AH92" s="33"/>
      <c r="AI92" s="24"/>
      <c r="AJ92" s="24" t="s">
        <v>324</v>
      </c>
      <c r="AK92" s="24" t="s">
        <v>324</v>
      </c>
      <c r="AL92" s="24" t="s">
        <v>324</v>
      </c>
      <c r="AM92" s="40" t="s">
        <v>325</v>
      </c>
      <c r="AN92" s="24"/>
      <c r="AO92" s="24" t="s">
        <v>324</v>
      </c>
      <c r="AP92" s="24"/>
      <c r="AQ92" s="24"/>
      <c r="AR92" s="36"/>
      <c r="AS92" s="24" t="s">
        <v>324</v>
      </c>
      <c r="AT92" s="24"/>
      <c r="AU92" s="24" t="s">
        <v>324</v>
      </c>
    </row>
    <row r="93" spans="1:47">
      <c r="A93" s="15">
        <v>87</v>
      </c>
      <c r="B93" s="16" t="s">
        <v>132</v>
      </c>
      <c r="C93" s="17" t="s">
        <v>76</v>
      </c>
      <c r="D93" s="21" t="s">
        <v>232</v>
      </c>
      <c r="E93" s="15" t="s">
        <v>168</v>
      </c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 t="s">
        <v>448</v>
      </c>
      <c r="AG93" s="24"/>
      <c r="AH93" s="33"/>
      <c r="AI93" s="24"/>
      <c r="AJ93" s="24"/>
      <c r="AK93" s="24" t="s">
        <v>324</v>
      </c>
      <c r="AL93" s="24" t="s">
        <v>324</v>
      </c>
      <c r="AM93" s="40" t="s">
        <v>325</v>
      </c>
      <c r="AN93" s="24"/>
      <c r="AO93" s="24" t="s">
        <v>324</v>
      </c>
      <c r="AP93" s="24"/>
      <c r="AQ93" s="24"/>
      <c r="AR93" s="36"/>
      <c r="AS93" s="24" t="s">
        <v>324</v>
      </c>
      <c r="AT93" s="24"/>
      <c r="AU93" s="24" t="s">
        <v>324</v>
      </c>
    </row>
    <row r="94" spans="1:47">
      <c r="A94" s="15">
        <v>88</v>
      </c>
      <c r="B94" s="16" t="s">
        <v>132</v>
      </c>
      <c r="C94" s="17" t="s">
        <v>77</v>
      </c>
      <c r="D94" s="19" t="s">
        <v>219</v>
      </c>
      <c r="E94" s="15" t="s">
        <v>168</v>
      </c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 t="s">
        <v>448</v>
      </c>
      <c r="AG94" s="24"/>
      <c r="AH94" s="33"/>
      <c r="AI94" s="24"/>
      <c r="AJ94" s="24" t="s">
        <v>324</v>
      </c>
      <c r="AK94" s="24" t="s">
        <v>324</v>
      </c>
      <c r="AL94" s="24" t="s">
        <v>324</v>
      </c>
      <c r="AM94" s="40" t="s">
        <v>324</v>
      </c>
      <c r="AN94" s="24"/>
      <c r="AO94" s="24" t="s">
        <v>324</v>
      </c>
      <c r="AP94" s="24" t="s">
        <v>325</v>
      </c>
      <c r="AQ94" s="24"/>
      <c r="AR94" s="36"/>
      <c r="AS94" s="24" t="s">
        <v>324</v>
      </c>
      <c r="AT94" s="24"/>
      <c r="AU94" s="24" t="s">
        <v>324</v>
      </c>
    </row>
    <row r="95" spans="1:47">
      <c r="A95" s="15">
        <v>89</v>
      </c>
      <c r="B95" s="16" t="s">
        <v>132</v>
      </c>
      <c r="C95" s="17" t="s">
        <v>78</v>
      </c>
      <c r="D95" s="19" t="s">
        <v>227</v>
      </c>
      <c r="E95" s="15" t="s">
        <v>168</v>
      </c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 t="s">
        <v>448</v>
      </c>
      <c r="AG95" s="24"/>
      <c r="AH95" s="33"/>
      <c r="AI95" s="24" t="s">
        <v>325</v>
      </c>
      <c r="AJ95" s="24" t="s">
        <v>324</v>
      </c>
      <c r="AK95" s="24" t="s">
        <v>366</v>
      </c>
      <c r="AL95" s="24" t="s">
        <v>324</v>
      </c>
      <c r="AM95" s="40" t="s">
        <v>324</v>
      </c>
      <c r="AN95" s="24"/>
      <c r="AO95" s="24" t="s">
        <v>325</v>
      </c>
      <c r="AP95" s="24"/>
      <c r="AQ95" s="24"/>
      <c r="AR95" s="36"/>
      <c r="AS95" s="24" t="s">
        <v>324</v>
      </c>
      <c r="AT95" s="24"/>
      <c r="AU95" s="24" t="s">
        <v>325</v>
      </c>
    </row>
    <row r="96" spans="1:47">
      <c r="A96" s="15">
        <v>90</v>
      </c>
      <c r="B96" s="16" t="s">
        <v>132</v>
      </c>
      <c r="C96" s="17" t="s">
        <v>79</v>
      </c>
      <c r="D96" s="19" t="s">
        <v>306</v>
      </c>
      <c r="E96" s="15" t="s">
        <v>168</v>
      </c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 t="s">
        <v>448</v>
      </c>
      <c r="AG96" s="24"/>
      <c r="AH96" s="33"/>
      <c r="AI96" s="24" t="s">
        <v>325</v>
      </c>
      <c r="AJ96" s="24" t="s">
        <v>324</v>
      </c>
      <c r="AK96" s="24" t="s">
        <v>324</v>
      </c>
      <c r="AL96" s="24" t="s">
        <v>324</v>
      </c>
      <c r="AM96" s="40" t="s">
        <v>324</v>
      </c>
      <c r="AN96" s="24"/>
      <c r="AO96" s="24" t="s">
        <v>324</v>
      </c>
      <c r="AP96" s="24"/>
      <c r="AQ96" s="24"/>
      <c r="AR96" s="36"/>
      <c r="AS96" s="24" t="s">
        <v>324</v>
      </c>
      <c r="AT96" s="24"/>
      <c r="AU96" s="24" t="s">
        <v>324</v>
      </c>
    </row>
    <row r="97" spans="1:47">
      <c r="A97" s="15">
        <v>91</v>
      </c>
      <c r="B97" s="16" t="s">
        <v>132</v>
      </c>
      <c r="C97" s="17" t="s">
        <v>80</v>
      </c>
      <c r="D97" s="21" t="s">
        <v>231</v>
      </c>
      <c r="E97" s="15" t="s">
        <v>168</v>
      </c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 t="s">
        <v>448</v>
      </c>
      <c r="AG97" s="24"/>
      <c r="AH97" s="33"/>
      <c r="AI97" s="24" t="s">
        <v>325</v>
      </c>
      <c r="AJ97" s="24" t="s">
        <v>324</v>
      </c>
      <c r="AK97" s="24" t="s">
        <v>324</v>
      </c>
      <c r="AL97" s="24" t="s">
        <v>324</v>
      </c>
      <c r="AM97" s="40"/>
      <c r="AN97" s="24"/>
      <c r="AO97" s="24"/>
      <c r="AP97" s="24"/>
      <c r="AQ97" s="24"/>
      <c r="AR97" s="36"/>
      <c r="AS97" s="24" t="s">
        <v>324</v>
      </c>
      <c r="AT97" s="24"/>
      <c r="AU97" s="24"/>
    </row>
    <row r="98" spans="1:47">
      <c r="A98" s="15">
        <v>92</v>
      </c>
      <c r="B98" s="16" t="s">
        <v>132</v>
      </c>
      <c r="C98" s="17" t="s">
        <v>61</v>
      </c>
      <c r="D98" s="19" t="s">
        <v>317</v>
      </c>
      <c r="E98" s="15" t="s">
        <v>168</v>
      </c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 t="s">
        <v>448</v>
      </c>
      <c r="AG98" s="24"/>
      <c r="AH98" s="33"/>
      <c r="AI98" s="24"/>
      <c r="AJ98" s="24" t="s">
        <v>325</v>
      </c>
      <c r="AK98" s="24" t="s">
        <v>324</v>
      </c>
      <c r="AL98" s="24" t="s">
        <v>324</v>
      </c>
      <c r="AM98" s="40"/>
      <c r="AN98" s="24"/>
      <c r="AO98" s="24"/>
      <c r="AP98" s="24"/>
      <c r="AQ98" s="24"/>
      <c r="AR98" s="36"/>
      <c r="AS98" s="24" t="s">
        <v>324</v>
      </c>
      <c r="AT98" s="24"/>
      <c r="AU98" s="24"/>
    </row>
    <row r="99" spans="1:47">
      <c r="A99" s="15">
        <v>93</v>
      </c>
      <c r="B99" s="16" t="s">
        <v>132</v>
      </c>
      <c r="C99" s="17" t="s">
        <v>62</v>
      </c>
      <c r="D99" s="19" t="s">
        <v>318</v>
      </c>
      <c r="E99" s="15" t="s">
        <v>168</v>
      </c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 t="s">
        <v>448</v>
      </c>
      <c r="AG99" s="24"/>
      <c r="AH99" s="33"/>
      <c r="AI99" s="24"/>
      <c r="AJ99" s="24" t="s">
        <v>325</v>
      </c>
      <c r="AK99" s="24" t="s">
        <v>324</v>
      </c>
      <c r="AL99" s="24" t="s">
        <v>324</v>
      </c>
      <c r="AM99" s="40"/>
      <c r="AN99" s="24"/>
      <c r="AO99" s="24"/>
      <c r="AP99" s="24"/>
      <c r="AQ99" s="24"/>
      <c r="AR99" s="36"/>
      <c r="AS99" s="24"/>
      <c r="AT99" s="24"/>
      <c r="AU99" s="24"/>
    </row>
    <row r="100" spans="1:47">
      <c r="A100" s="15">
        <v>94</v>
      </c>
      <c r="B100" s="16" t="s">
        <v>132</v>
      </c>
      <c r="C100" s="17" t="s">
        <v>63</v>
      </c>
      <c r="D100" s="19" t="s">
        <v>367</v>
      </c>
      <c r="E100" s="15" t="s">
        <v>168</v>
      </c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 t="s">
        <v>448</v>
      </c>
      <c r="AG100" s="24"/>
      <c r="AH100" s="33"/>
      <c r="AI100" s="24"/>
      <c r="AJ100" s="24"/>
      <c r="AK100" s="24"/>
      <c r="AL100" s="24" t="s">
        <v>324</v>
      </c>
      <c r="AM100" s="40"/>
      <c r="AN100" s="24"/>
      <c r="AO100" s="24" t="s">
        <v>325</v>
      </c>
      <c r="AP100" s="24"/>
      <c r="AQ100" s="24"/>
      <c r="AR100" s="36"/>
      <c r="AS100" s="24" t="s">
        <v>324</v>
      </c>
      <c r="AT100" s="24"/>
      <c r="AU100" s="24" t="s">
        <v>325</v>
      </c>
    </row>
    <row r="101" spans="1:47">
      <c r="A101" s="15">
        <v>95</v>
      </c>
      <c r="B101" s="16" t="s">
        <v>132</v>
      </c>
      <c r="C101" s="17" t="s">
        <v>92</v>
      </c>
      <c r="D101" s="18">
        <v>180690102</v>
      </c>
      <c r="E101" s="15" t="s">
        <v>166</v>
      </c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 t="s">
        <v>453</v>
      </c>
      <c r="AG101" s="24"/>
      <c r="AH101" s="33"/>
      <c r="AI101" s="24"/>
      <c r="AJ101" s="24"/>
      <c r="AK101" s="24"/>
      <c r="AL101" s="24"/>
      <c r="AM101" s="40"/>
      <c r="AN101" s="24"/>
      <c r="AO101" s="24"/>
      <c r="AP101" s="24" t="s">
        <v>324</v>
      </c>
      <c r="AQ101" s="24"/>
      <c r="AR101" s="36"/>
      <c r="AS101" s="24"/>
      <c r="AT101" s="24"/>
      <c r="AU101" s="24"/>
    </row>
    <row r="102" spans="1:47">
      <c r="A102" s="15">
        <v>96</v>
      </c>
      <c r="B102" s="16" t="s">
        <v>132</v>
      </c>
      <c r="C102" s="17" t="s">
        <v>93</v>
      </c>
      <c r="D102" s="19" t="s">
        <v>292</v>
      </c>
      <c r="E102" s="15" t="s">
        <v>166</v>
      </c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 t="s">
        <v>451</v>
      </c>
      <c r="AG102" s="24" t="s">
        <v>323</v>
      </c>
      <c r="AH102" s="33"/>
      <c r="AI102" s="24"/>
      <c r="AJ102" s="24" t="s">
        <v>324</v>
      </c>
      <c r="AK102" s="24" t="s">
        <v>324</v>
      </c>
      <c r="AL102" s="24" t="s">
        <v>325</v>
      </c>
      <c r="AM102" s="40" t="s">
        <v>325</v>
      </c>
      <c r="AN102" s="24"/>
      <c r="AO102" s="24" t="s">
        <v>324</v>
      </c>
      <c r="AP102" s="24"/>
      <c r="AQ102" s="24"/>
      <c r="AR102" s="36"/>
      <c r="AS102" s="24"/>
      <c r="AT102" s="24"/>
      <c r="AU102" s="24" t="s">
        <v>324</v>
      </c>
    </row>
    <row r="103" spans="1:47" hidden="1">
      <c r="A103" s="43">
        <v>97</v>
      </c>
      <c r="B103" s="37" t="s">
        <v>132</v>
      </c>
      <c r="C103" s="35" t="s">
        <v>106</v>
      </c>
      <c r="D103" s="44">
        <v>180778200</v>
      </c>
      <c r="E103" s="15" t="s">
        <v>170</v>
      </c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33"/>
      <c r="AI103" s="24"/>
      <c r="AJ103" s="24"/>
      <c r="AK103" s="24"/>
      <c r="AL103" s="24"/>
      <c r="AM103" s="40"/>
      <c r="AN103" s="24"/>
      <c r="AO103" s="24" t="s">
        <v>325</v>
      </c>
      <c r="AP103" s="24"/>
      <c r="AQ103" s="24"/>
      <c r="AR103" s="36"/>
      <c r="AS103" s="24"/>
      <c r="AT103" s="24"/>
      <c r="AU103" s="24" t="s">
        <v>325</v>
      </c>
    </row>
    <row r="104" spans="1:47">
      <c r="A104" s="15">
        <v>98</v>
      </c>
      <c r="B104" s="16" t="s">
        <v>132</v>
      </c>
      <c r="C104" s="17" t="s">
        <v>107</v>
      </c>
      <c r="D104" s="19" t="s">
        <v>224</v>
      </c>
      <c r="E104" s="15" t="s">
        <v>169</v>
      </c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 t="s">
        <v>447</v>
      </c>
      <c r="AG104" s="24"/>
      <c r="AH104" s="33"/>
      <c r="AI104" s="24" t="s">
        <v>323</v>
      </c>
      <c r="AJ104" s="24"/>
      <c r="AK104" s="24" t="s">
        <v>325</v>
      </c>
      <c r="AL104" s="24" t="s">
        <v>325</v>
      </c>
      <c r="AM104" s="40" t="s">
        <v>325</v>
      </c>
      <c r="AN104" s="24"/>
      <c r="AO104" s="24" t="s">
        <v>324</v>
      </c>
      <c r="AP104" s="24" t="s">
        <v>324</v>
      </c>
      <c r="AQ104" s="24"/>
      <c r="AR104" s="36" t="s">
        <v>325</v>
      </c>
      <c r="AS104" s="24"/>
      <c r="AT104" s="24"/>
      <c r="AU104" s="24" t="s">
        <v>324</v>
      </c>
    </row>
    <row r="105" spans="1:47">
      <c r="A105" s="15">
        <v>99</v>
      </c>
      <c r="B105" s="16" t="s">
        <v>132</v>
      </c>
      <c r="C105" s="17" t="s">
        <v>84</v>
      </c>
      <c r="D105" s="19" t="s">
        <v>364</v>
      </c>
      <c r="E105" s="15" t="s">
        <v>172</v>
      </c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 t="s">
        <v>452</v>
      </c>
      <c r="AG105" s="24"/>
      <c r="AH105" s="33"/>
      <c r="AI105" s="24"/>
      <c r="AJ105" s="24"/>
      <c r="AK105" s="24" t="s">
        <v>325</v>
      </c>
      <c r="AL105" s="24" t="s">
        <v>323</v>
      </c>
      <c r="AM105" s="40"/>
      <c r="AN105" s="24"/>
      <c r="AO105" s="24" t="s">
        <v>325</v>
      </c>
      <c r="AP105" s="24"/>
      <c r="AQ105" s="24"/>
      <c r="AR105" s="36"/>
      <c r="AS105" s="24"/>
      <c r="AT105" s="24"/>
      <c r="AU105" s="24" t="s">
        <v>325</v>
      </c>
    </row>
    <row r="106" spans="1:47">
      <c r="A106" s="15">
        <v>100</v>
      </c>
      <c r="B106" s="16" t="s">
        <v>132</v>
      </c>
      <c r="C106" s="17" t="s">
        <v>91</v>
      </c>
      <c r="D106" s="19" t="s">
        <v>291</v>
      </c>
      <c r="E106" s="15" t="s">
        <v>173</v>
      </c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 t="s">
        <v>445</v>
      </c>
      <c r="AG106" s="24" t="s">
        <v>323</v>
      </c>
      <c r="AH106" s="33"/>
      <c r="AI106" s="24"/>
      <c r="AJ106" s="24"/>
      <c r="AK106" s="24" t="s">
        <v>323</v>
      </c>
      <c r="AL106" s="24" t="s">
        <v>324</v>
      </c>
      <c r="AM106" s="40" t="s">
        <v>324</v>
      </c>
      <c r="AN106" s="24"/>
      <c r="AO106" s="24" t="s">
        <v>325</v>
      </c>
      <c r="AP106" s="24" t="s">
        <v>324</v>
      </c>
      <c r="AQ106" s="24"/>
      <c r="AR106" s="36"/>
      <c r="AS106" s="24"/>
      <c r="AT106" s="24"/>
      <c r="AU106" s="24" t="s">
        <v>325</v>
      </c>
    </row>
    <row r="107" spans="1:47">
      <c r="A107" s="15">
        <v>101</v>
      </c>
      <c r="B107" s="16" t="s">
        <v>132</v>
      </c>
      <c r="C107" s="17" t="s">
        <v>91</v>
      </c>
      <c r="D107" s="19" t="s">
        <v>352</v>
      </c>
      <c r="E107" s="15" t="s">
        <v>169</v>
      </c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 t="s">
        <v>444</v>
      </c>
      <c r="AG107" s="24" t="s">
        <v>323</v>
      </c>
      <c r="AH107" s="33"/>
      <c r="AI107" s="24" t="s">
        <v>323</v>
      </c>
      <c r="AJ107" s="24"/>
      <c r="AK107" s="24"/>
      <c r="AL107" s="24" t="s">
        <v>325</v>
      </c>
      <c r="AM107" s="40"/>
      <c r="AN107" s="24"/>
      <c r="AO107" s="24"/>
      <c r="AP107" s="24"/>
      <c r="AQ107" s="24" t="s">
        <v>324</v>
      </c>
      <c r="AR107" s="36"/>
      <c r="AS107" s="24"/>
      <c r="AT107" s="24"/>
      <c r="AU107" s="24"/>
    </row>
    <row r="108" spans="1:47">
      <c r="A108" s="15">
        <v>102</v>
      </c>
      <c r="B108" s="16" t="s">
        <v>132</v>
      </c>
      <c r="C108" s="16" t="s">
        <v>82</v>
      </c>
      <c r="D108" s="19" t="s">
        <v>261</v>
      </c>
      <c r="E108" s="15" t="s">
        <v>166</v>
      </c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 t="s">
        <v>445</v>
      </c>
      <c r="AG108" s="24"/>
      <c r="AH108" s="33"/>
      <c r="AI108" s="24"/>
      <c r="AJ108" s="24"/>
      <c r="AK108" s="24"/>
      <c r="AL108" s="24"/>
      <c r="AM108" s="40" t="s">
        <v>324</v>
      </c>
      <c r="AN108" s="24"/>
      <c r="AO108" s="24" t="s">
        <v>324</v>
      </c>
      <c r="AP108" s="24"/>
      <c r="AQ108" s="24" t="s">
        <v>324</v>
      </c>
      <c r="AR108" s="36"/>
      <c r="AS108" s="24"/>
      <c r="AT108" s="24"/>
      <c r="AU108" s="24" t="s">
        <v>324</v>
      </c>
    </row>
    <row r="109" spans="1:47">
      <c r="A109" s="15">
        <v>103</v>
      </c>
      <c r="B109" s="16" t="s">
        <v>132</v>
      </c>
      <c r="C109" s="16" t="s">
        <v>82</v>
      </c>
      <c r="D109" s="19" t="s">
        <v>335</v>
      </c>
      <c r="E109" s="15" t="s">
        <v>166</v>
      </c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 t="s">
        <v>446</v>
      </c>
      <c r="AG109" s="24"/>
      <c r="AH109" s="33"/>
      <c r="AI109" s="24"/>
      <c r="AJ109" s="24" t="s">
        <v>323</v>
      </c>
      <c r="AK109" s="24" t="s">
        <v>323</v>
      </c>
      <c r="AL109" s="24" t="s">
        <v>323</v>
      </c>
      <c r="AM109" s="40"/>
      <c r="AN109" s="24"/>
      <c r="AO109" s="24" t="s">
        <v>325</v>
      </c>
      <c r="AP109" s="24" t="s">
        <v>324</v>
      </c>
      <c r="AQ109" s="24"/>
      <c r="AR109" s="36"/>
      <c r="AS109" s="24"/>
      <c r="AT109" s="24"/>
      <c r="AU109" s="24" t="s">
        <v>325</v>
      </c>
    </row>
    <row r="110" spans="1:47">
      <c r="A110" s="15">
        <v>104</v>
      </c>
      <c r="B110" s="16" t="s">
        <v>142</v>
      </c>
      <c r="C110" s="23" t="s">
        <v>162</v>
      </c>
      <c r="D110" s="21" t="s">
        <v>243</v>
      </c>
      <c r="E110" s="15" t="s">
        <v>167</v>
      </c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 t="s">
        <v>444</v>
      </c>
      <c r="AG110" s="24" t="s">
        <v>323</v>
      </c>
      <c r="AH110" s="33"/>
      <c r="AI110" s="24" t="s">
        <v>324</v>
      </c>
      <c r="AJ110" s="24" t="s">
        <v>323</v>
      </c>
      <c r="AK110" s="24"/>
      <c r="AL110" s="24" t="s">
        <v>323</v>
      </c>
      <c r="AM110" s="40" t="s">
        <v>325</v>
      </c>
      <c r="AN110" s="24"/>
      <c r="AO110" s="24" t="s">
        <v>325</v>
      </c>
      <c r="AP110" s="24" t="s">
        <v>325</v>
      </c>
      <c r="AQ110" s="24"/>
      <c r="AR110" s="36"/>
      <c r="AS110" s="24"/>
      <c r="AT110" s="24"/>
      <c r="AU110" s="24" t="s">
        <v>325</v>
      </c>
    </row>
    <row r="111" spans="1:47">
      <c r="A111" s="15">
        <v>105</v>
      </c>
      <c r="B111" s="16" t="s">
        <v>142</v>
      </c>
      <c r="C111" s="17" t="s">
        <v>120</v>
      </c>
      <c r="D111" s="19" t="s">
        <v>247</v>
      </c>
      <c r="E111" s="15" t="s">
        <v>169</v>
      </c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 t="s">
        <v>447</v>
      </c>
      <c r="AG111" s="24"/>
      <c r="AH111" s="33"/>
      <c r="AI111" s="24"/>
      <c r="AJ111" s="24"/>
      <c r="AK111" s="24" t="s">
        <v>325</v>
      </c>
      <c r="AL111" s="24" t="s">
        <v>325</v>
      </c>
      <c r="AM111" s="40" t="s">
        <v>325</v>
      </c>
      <c r="AN111" s="24"/>
      <c r="AO111" s="24" t="s">
        <v>325</v>
      </c>
      <c r="AP111" s="24"/>
      <c r="AQ111" s="24"/>
      <c r="AR111" s="36" t="s">
        <v>325</v>
      </c>
      <c r="AS111" s="24"/>
      <c r="AT111" s="24"/>
      <c r="AU111" s="24" t="s">
        <v>325</v>
      </c>
    </row>
    <row r="112" spans="1:47">
      <c r="A112" s="15">
        <v>106</v>
      </c>
      <c r="B112" s="16" t="s">
        <v>142</v>
      </c>
      <c r="C112" s="17" t="s">
        <v>119</v>
      </c>
      <c r="D112" s="19" t="s">
        <v>322</v>
      </c>
      <c r="E112" s="15" t="s">
        <v>166</v>
      </c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 t="s">
        <v>447</v>
      </c>
      <c r="AG112" s="24"/>
      <c r="AH112" s="33"/>
      <c r="AI112" s="24"/>
      <c r="AJ112" s="24" t="s">
        <v>324</v>
      </c>
      <c r="AK112" s="24"/>
      <c r="AL112" s="24"/>
      <c r="AM112" s="40"/>
      <c r="AN112" s="24"/>
      <c r="AO112" s="24"/>
      <c r="AP112" s="24" t="s">
        <v>325</v>
      </c>
      <c r="AQ112" s="24"/>
      <c r="AR112" s="36"/>
      <c r="AS112" s="24"/>
      <c r="AT112" s="24"/>
      <c r="AU112" s="24"/>
    </row>
    <row r="113" spans="1:47">
      <c r="A113" s="15">
        <v>107</v>
      </c>
      <c r="B113" s="16" t="s">
        <v>142</v>
      </c>
      <c r="C113" s="17" t="s">
        <v>98</v>
      </c>
      <c r="D113" s="18">
        <v>179256801</v>
      </c>
      <c r="E113" s="15" t="s">
        <v>169</v>
      </c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 t="s">
        <v>446</v>
      </c>
      <c r="AG113" s="24"/>
      <c r="AH113" s="33"/>
      <c r="AI113" s="24"/>
      <c r="AJ113" s="24"/>
      <c r="AK113" s="24"/>
      <c r="AL113" s="24"/>
      <c r="AM113" s="40"/>
      <c r="AN113" s="24"/>
      <c r="AO113" s="24"/>
      <c r="AP113" s="24"/>
      <c r="AQ113" s="24"/>
      <c r="AR113" s="36"/>
      <c r="AS113" s="24"/>
      <c r="AT113" s="24"/>
      <c r="AU113" s="24"/>
    </row>
    <row r="114" spans="1:47" hidden="1">
      <c r="A114" s="15">
        <v>108</v>
      </c>
      <c r="B114" s="16" t="s">
        <v>142</v>
      </c>
      <c r="C114" s="35" t="s">
        <v>100</v>
      </c>
      <c r="D114" s="18">
        <v>179338001</v>
      </c>
      <c r="E114" s="15" t="s">
        <v>169</v>
      </c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33"/>
      <c r="AI114" s="24"/>
      <c r="AJ114" s="24"/>
      <c r="AK114" s="24"/>
      <c r="AL114" s="24"/>
      <c r="AM114" s="40"/>
      <c r="AN114" s="24"/>
      <c r="AO114" s="24"/>
      <c r="AP114" s="24"/>
      <c r="AQ114" s="24"/>
      <c r="AR114" s="36"/>
      <c r="AS114" s="24"/>
      <c r="AT114" s="24"/>
      <c r="AU114" s="24"/>
    </row>
    <row r="115" spans="1:47" hidden="1">
      <c r="A115" s="43">
        <v>109</v>
      </c>
      <c r="B115" s="37" t="s">
        <v>142</v>
      </c>
      <c r="C115" s="35" t="s">
        <v>101</v>
      </c>
      <c r="D115" s="44">
        <v>179270700</v>
      </c>
      <c r="E115" s="15" t="s">
        <v>172</v>
      </c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33"/>
      <c r="AI115" s="24"/>
      <c r="AJ115" s="24"/>
      <c r="AK115" s="24"/>
      <c r="AL115" s="24"/>
      <c r="AM115" s="40"/>
      <c r="AN115" s="24"/>
      <c r="AO115" s="24"/>
      <c r="AP115" s="24"/>
      <c r="AQ115" s="24"/>
      <c r="AR115" s="36"/>
      <c r="AS115" s="24"/>
      <c r="AT115" s="24"/>
      <c r="AU115" s="24"/>
    </row>
    <row r="116" spans="1:47">
      <c r="A116" s="15">
        <v>110</v>
      </c>
      <c r="B116" s="16" t="s">
        <v>142</v>
      </c>
      <c r="C116" s="17" t="s">
        <v>102</v>
      </c>
      <c r="D116" s="19" t="s">
        <v>379</v>
      </c>
      <c r="E116" s="15" t="s">
        <v>169</v>
      </c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 t="s">
        <v>446</v>
      </c>
      <c r="AG116" s="24"/>
      <c r="AH116" s="33"/>
      <c r="AI116" s="24"/>
      <c r="AJ116" s="24"/>
      <c r="AK116" s="24"/>
      <c r="AL116" s="24"/>
      <c r="AM116" s="40"/>
      <c r="AN116" s="24" t="s">
        <v>324</v>
      </c>
      <c r="AO116" s="24" t="s">
        <v>325</v>
      </c>
      <c r="AP116" s="24"/>
      <c r="AQ116" s="24"/>
      <c r="AR116" s="36" t="s">
        <v>325</v>
      </c>
      <c r="AS116" s="24"/>
      <c r="AT116" s="24" t="s">
        <v>324</v>
      </c>
      <c r="AU116" s="24" t="s">
        <v>325</v>
      </c>
    </row>
    <row r="117" spans="1:47">
      <c r="A117" s="15">
        <v>111</v>
      </c>
      <c r="B117" s="16" t="s">
        <v>142</v>
      </c>
      <c r="C117" s="17" t="s">
        <v>103</v>
      </c>
      <c r="D117" s="34" t="s">
        <v>387</v>
      </c>
      <c r="E117" s="15" t="s">
        <v>168</v>
      </c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 t="s">
        <v>446</v>
      </c>
      <c r="AG117" s="24"/>
      <c r="AH117" s="33"/>
      <c r="AI117" s="24"/>
      <c r="AJ117" s="24"/>
      <c r="AK117" s="24"/>
      <c r="AL117" s="24"/>
      <c r="AM117" s="40"/>
      <c r="AN117" s="24"/>
      <c r="AO117" s="24"/>
      <c r="AP117" s="24" t="s">
        <v>324</v>
      </c>
      <c r="AQ117" s="24"/>
      <c r="AR117" s="36" t="s">
        <v>325</v>
      </c>
      <c r="AS117" s="24"/>
      <c r="AT117" s="24"/>
      <c r="AU117" s="24"/>
    </row>
    <row r="118" spans="1:47">
      <c r="A118" s="15">
        <v>112</v>
      </c>
      <c r="B118" s="16" t="s">
        <v>142</v>
      </c>
      <c r="C118" s="17" t="s">
        <v>104</v>
      </c>
      <c r="D118" s="19" t="s">
        <v>398</v>
      </c>
      <c r="E118" s="15" t="s">
        <v>168</v>
      </c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 t="s">
        <v>445</v>
      </c>
      <c r="AG118" s="24"/>
      <c r="AH118" s="33"/>
      <c r="AI118" s="24"/>
      <c r="AJ118" s="24"/>
      <c r="AK118" s="24"/>
      <c r="AL118" s="24"/>
      <c r="AM118" s="40"/>
      <c r="AN118" s="24"/>
      <c r="AO118" s="24"/>
      <c r="AP118" s="24"/>
      <c r="AQ118" s="24"/>
      <c r="AR118" s="36" t="s">
        <v>325</v>
      </c>
      <c r="AS118" s="24"/>
      <c r="AT118" s="24"/>
      <c r="AU118" s="24"/>
    </row>
    <row r="119" spans="1:47">
      <c r="A119" s="15">
        <v>113</v>
      </c>
      <c r="B119" s="16" t="s">
        <v>123</v>
      </c>
      <c r="C119" s="17" t="s">
        <v>4</v>
      </c>
      <c r="D119" s="18">
        <v>189323105</v>
      </c>
      <c r="E119" s="15" t="s">
        <v>166</v>
      </c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 t="s">
        <v>446</v>
      </c>
      <c r="AG119" s="24"/>
      <c r="AH119" s="33"/>
      <c r="AI119" s="24"/>
      <c r="AJ119" s="24"/>
      <c r="AK119" s="24"/>
      <c r="AL119" s="24"/>
      <c r="AM119" s="40"/>
      <c r="AN119" s="24"/>
      <c r="AO119" s="24"/>
      <c r="AP119" s="24"/>
      <c r="AQ119" s="24"/>
      <c r="AR119" s="36"/>
      <c r="AS119" s="24"/>
      <c r="AT119" s="24"/>
      <c r="AU119" s="24"/>
    </row>
    <row r="120" spans="1:47">
      <c r="A120" s="15">
        <v>114</v>
      </c>
      <c r="B120" s="16" t="s">
        <v>123</v>
      </c>
      <c r="C120" s="17" t="s">
        <v>4</v>
      </c>
      <c r="D120" s="18">
        <v>189323104</v>
      </c>
      <c r="E120" s="15" t="s">
        <v>166</v>
      </c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 t="s">
        <v>446</v>
      </c>
      <c r="AG120" s="24"/>
      <c r="AH120" s="33"/>
      <c r="AI120" s="24"/>
      <c r="AJ120" s="24"/>
      <c r="AK120" s="24"/>
      <c r="AL120" s="24"/>
      <c r="AM120" s="40"/>
      <c r="AN120" s="24"/>
      <c r="AO120" s="24"/>
      <c r="AP120" s="24"/>
      <c r="AQ120" s="24"/>
      <c r="AR120" s="36"/>
      <c r="AS120" s="24"/>
      <c r="AT120" s="24"/>
      <c r="AU120" s="24"/>
    </row>
    <row r="121" spans="1:47">
      <c r="A121" s="15">
        <v>115</v>
      </c>
      <c r="B121" s="16" t="s">
        <v>123</v>
      </c>
      <c r="C121" s="17" t="s">
        <v>10</v>
      </c>
      <c r="D121" s="18">
        <v>189381401</v>
      </c>
      <c r="E121" s="15" t="s">
        <v>166</v>
      </c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 t="s">
        <v>442</v>
      </c>
      <c r="AG121" s="24"/>
      <c r="AH121" s="33"/>
      <c r="AI121" s="24"/>
      <c r="AJ121" s="24"/>
      <c r="AK121" s="24"/>
      <c r="AL121" s="24"/>
      <c r="AM121" s="40"/>
      <c r="AN121" s="24"/>
      <c r="AO121" s="24"/>
      <c r="AP121" s="24"/>
      <c r="AQ121" s="24"/>
      <c r="AR121" s="36"/>
      <c r="AS121" s="24"/>
      <c r="AT121" s="24"/>
      <c r="AU121" s="24"/>
    </row>
    <row r="122" spans="1:47">
      <c r="A122" s="15">
        <v>116</v>
      </c>
      <c r="B122" s="16" t="s">
        <v>123</v>
      </c>
      <c r="C122" s="17" t="s">
        <v>4</v>
      </c>
      <c r="D122" s="18">
        <v>189323101</v>
      </c>
      <c r="E122" s="15" t="s">
        <v>166</v>
      </c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 t="s">
        <v>442</v>
      </c>
      <c r="AG122" s="24"/>
      <c r="AH122" s="33"/>
      <c r="AI122" s="24"/>
      <c r="AJ122" s="24"/>
      <c r="AK122" s="24"/>
      <c r="AL122" s="24"/>
      <c r="AM122" s="40"/>
      <c r="AN122" s="24"/>
      <c r="AO122" s="24"/>
      <c r="AP122" s="24"/>
      <c r="AQ122" s="24"/>
      <c r="AR122" s="36"/>
      <c r="AS122" s="24"/>
      <c r="AT122" s="24"/>
      <c r="AU122" s="24"/>
    </row>
    <row r="123" spans="1:47">
      <c r="A123" s="15">
        <v>117</v>
      </c>
      <c r="B123" s="16" t="s">
        <v>123</v>
      </c>
      <c r="C123" s="17" t="s">
        <v>18</v>
      </c>
      <c r="D123" s="18">
        <v>189323201</v>
      </c>
      <c r="E123" s="15" t="s">
        <v>166</v>
      </c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 t="s">
        <v>442</v>
      </c>
      <c r="AG123" s="24"/>
      <c r="AH123" s="33"/>
      <c r="AI123" s="24"/>
      <c r="AJ123" s="24"/>
      <c r="AK123" s="24"/>
      <c r="AL123" s="24"/>
      <c r="AM123" s="40"/>
      <c r="AN123" s="24"/>
      <c r="AO123" s="24"/>
      <c r="AP123" s="24"/>
      <c r="AQ123" s="24"/>
      <c r="AR123" s="36"/>
      <c r="AS123" s="24"/>
      <c r="AT123" s="24"/>
      <c r="AU123" s="24"/>
    </row>
    <row r="124" spans="1:47">
      <c r="A124" s="15">
        <v>118</v>
      </c>
      <c r="B124" s="16" t="s">
        <v>135</v>
      </c>
      <c r="C124" s="17" t="s">
        <v>94</v>
      </c>
      <c r="D124" s="41" t="s">
        <v>390</v>
      </c>
      <c r="E124" s="15" t="s">
        <v>168</v>
      </c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 t="s">
        <v>450</v>
      </c>
      <c r="AG124" s="24"/>
      <c r="AH124" s="33"/>
      <c r="AI124" s="24"/>
      <c r="AJ124" s="24"/>
      <c r="AK124" s="24"/>
      <c r="AL124" s="24"/>
      <c r="AM124" s="40"/>
      <c r="AN124" s="24"/>
      <c r="AO124" s="24"/>
      <c r="AP124" s="24" t="s">
        <v>324</v>
      </c>
      <c r="AQ124" s="24"/>
      <c r="AR124" s="36"/>
      <c r="AS124" s="24"/>
      <c r="AT124" s="24"/>
      <c r="AU124" s="24"/>
    </row>
    <row r="125" spans="1:47">
      <c r="A125" s="15">
        <v>119</v>
      </c>
      <c r="B125" s="16" t="s">
        <v>135</v>
      </c>
      <c r="C125" s="17" t="s">
        <v>95</v>
      </c>
      <c r="D125" s="19" t="s">
        <v>421</v>
      </c>
      <c r="E125" s="15" t="s">
        <v>168</v>
      </c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 t="s">
        <v>452</v>
      </c>
      <c r="AG125" s="24"/>
      <c r="AH125" s="33"/>
      <c r="AI125" s="24"/>
      <c r="AJ125" s="24"/>
      <c r="AK125" s="24"/>
      <c r="AL125" s="24"/>
      <c r="AM125" s="40"/>
      <c r="AN125" s="24"/>
      <c r="AO125" s="24"/>
      <c r="AP125" s="24"/>
      <c r="AQ125" s="24"/>
      <c r="AR125" s="36"/>
      <c r="AS125" s="24"/>
      <c r="AT125" s="24"/>
      <c r="AU125" s="24"/>
    </row>
    <row r="126" spans="1:47">
      <c r="A126" s="15">
        <v>120</v>
      </c>
      <c r="B126" s="16" t="s">
        <v>135</v>
      </c>
      <c r="C126" s="17" t="s">
        <v>96</v>
      </c>
      <c r="D126" s="34" t="s">
        <v>478</v>
      </c>
      <c r="E126" s="15" t="s">
        <v>168</v>
      </c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 t="s">
        <v>451</v>
      </c>
      <c r="AG126" s="24"/>
      <c r="AH126" s="33"/>
      <c r="AI126" s="24"/>
      <c r="AJ126" s="24"/>
      <c r="AK126" s="24"/>
      <c r="AL126" s="24"/>
      <c r="AM126" s="40"/>
      <c r="AN126" s="24"/>
      <c r="AO126" s="24"/>
      <c r="AP126" s="24"/>
      <c r="AQ126" s="24"/>
      <c r="AR126" s="36"/>
      <c r="AS126" s="24"/>
      <c r="AT126" s="24"/>
      <c r="AU126" s="24"/>
    </row>
    <row r="127" spans="1:47">
      <c r="A127" s="15">
        <v>121</v>
      </c>
      <c r="B127" s="16" t="s">
        <v>135</v>
      </c>
      <c r="C127" s="17" t="s">
        <v>97</v>
      </c>
      <c r="D127" s="19" t="s">
        <v>348</v>
      </c>
      <c r="E127" s="15" t="s">
        <v>166</v>
      </c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 t="s">
        <v>447</v>
      </c>
      <c r="AG127" s="24"/>
      <c r="AH127" s="33"/>
      <c r="AI127" s="24" t="s">
        <v>323</v>
      </c>
      <c r="AJ127" s="24"/>
      <c r="AK127" s="24" t="s">
        <v>324</v>
      </c>
      <c r="AL127" s="24" t="s">
        <v>324</v>
      </c>
      <c r="AM127" s="40" t="s">
        <v>325</v>
      </c>
      <c r="AN127" s="24"/>
      <c r="AO127" s="24"/>
      <c r="AP127" s="24"/>
      <c r="AQ127" s="24"/>
      <c r="AR127" s="36"/>
      <c r="AS127" s="24"/>
      <c r="AT127" s="24"/>
      <c r="AU127" s="24"/>
    </row>
    <row r="128" spans="1:47">
      <c r="A128" s="15">
        <v>122</v>
      </c>
      <c r="B128" s="16" t="s">
        <v>135</v>
      </c>
      <c r="C128" s="20" t="s">
        <v>300</v>
      </c>
      <c r="D128" s="19" t="s">
        <v>347</v>
      </c>
      <c r="E128" s="15" t="s">
        <v>169</v>
      </c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 t="s">
        <v>447</v>
      </c>
      <c r="AG128" s="24"/>
      <c r="AH128" s="33"/>
      <c r="AI128" s="24" t="s">
        <v>323</v>
      </c>
      <c r="AJ128" s="24"/>
      <c r="AK128" s="24"/>
      <c r="AL128" s="24" t="s">
        <v>325</v>
      </c>
      <c r="AM128" s="40" t="s">
        <v>325</v>
      </c>
      <c r="AN128" s="24"/>
      <c r="AO128" s="24"/>
      <c r="AP128" s="24" t="s">
        <v>324</v>
      </c>
      <c r="AQ128" s="24"/>
      <c r="AR128" s="36"/>
      <c r="AS128" s="24"/>
      <c r="AT128" s="24"/>
      <c r="AU128" s="24"/>
    </row>
    <row r="129" spans="1:47">
      <c r="A129" s="15">
        <v>123</v>
      </c>
      <c r="B129" s="16" t="s">
        <v>141</v>
      </c>
      <c r="C129" s="17" t="s">
        <v>85</v>
      </c>
      <c r="D129" s="18">
        <v>181575502</v>
      </c>
      <c r="E129" s="15" t="s">
        <v>174</v>
      </c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 t="s">
        <v>445</v>
      </c>
      <c r="AG129" s="24"/>
      <c r="AH129" s="33"/>
      <c r="AI129" s="24"/>
      <c r="AJ129" s="24"/>
      <c r="AK129" s="24"/>
      <c r="AL129" s="24"/>
      <c r="AM129" s="40"/>
      <c r="AN129" s="24"/>
      <c r="AO129" s="24"/>
      <c r="AP129" s="24"/>
      <c r="AQ129" s="24"/>
      <c r="AR129" s="36"/>
      <c r="AS129" s="24"/>
      <c r="AT129" s="24"/>
      <c r="AU129" s="24"/>
    </row>
    <row r="130" spans="1:47">
      <c r="A130" s="15">
        <v>124</v>
      </c>
      <c r="B130" s="16" t="s">
        <v>141</v>
      </c>
      <c r="C130" s="17" t="s">
        <v>86</v>
      </c>
      <c r="D130" s="18">
        <v>181575402</v>
      </c>
      <c r="E130" s="15" t="s">
        <v>174</v>
      </c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 t="s">
        <v>449</v>
      </c>
      <c r="AG130" s="24"/>
      <c r="AH130" s="33"/>
      <c r="AI130" s="24"/>
      <c r="AJ130" s="24"/>
      <c r="AK130" s="24"/>
      <c r="AL130" s="24"/>
      <c r="AM130" s="40"/>
      <c r="AN130" s="24"/>
      <c r="AO130" s="24"/>
      <c r="AP130" s="24"/>
      <c r="AQ130" s="24"/>
      <c r="AR130" s="36"/>
      <c r="AS130" s="24" t="s">
        <v>325</v>
      </c>
      <c r="AT130" s="24"/>
      <c r="AU130" s="24"/>
    </row>
    <row r="131" spans="1:47">
      <c r="A131" s="15">
        <v>125</v>
      </c>
      <c r="B131" s="16" t="s">
        <v>134</v>
      </c>
      <c r="C131" s="17" t="s">
        <v>83</v>
      </c>
      <c r="D131" s="19" t="s">
        <v>369</v>
      </c>
      <c r="E131" s="15" t="s">
        <v>166</v>
      </c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 t="s">
        <v>442</v>
      </c>
      <c r="AG131" s="24"/>
      <c r="AH131" s="33"/>
      <c r="AI131" s="24"/>
      <c r="AJ131" s="24"/>
      <c r="AK131" s="24"/>
      <c r="AL131" s="24" t="s">
        <v>323</v>
      </c>
      <c r="AM131" s="40"/>
      <c r="AN131" s="24"/>
      <c r="AO131" s="24"/>
      <c r="AP131" s="24"/>
      <c r="AQ131" s="24"/>
      <c r="AR131" s="36"/>
      <c r="AS131" s="24"/>
      <c r="AT131" s="24"/>
      <c r="AU131" s="24"/>
    </row>
    <row r="132" spans="1:47">
      <c r="A132" s="15">
        <v>126</v>
      </c>
      <c r="B132" s="16" t="s">
        <v>134</v>
      </c>
      <c r="C132" s="17" t="s">
        <v>105</v>
      </c>
      <c r="D132" s="19" t="s">
        <v>370</v>
      </c>
      <c r="E132" s="15" t="s">
        <v>166</v>
      </c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 t="s">
        <v>454</v>
      </c>
      <c r="AG132" s="24"/>
      <c r="AH132" s="33"/>
      <c r="AI132" s="24"/>
      <c r="AJ132" s="24"/>
      <c r="AK132" s="24"/>
      <c r="AL132" s="24" t="s">
        <v>324</v>
      </c>
      <c r="AM132" s="40"/>
      <c r="AN132" s="24"/>
      <c r="AO132" s="24"/>
      <c r="AP132" s="24"/>
      <c r="AQ132" s="24"/>
      <c r="AR132" s="36"/>
      <c r="AS132" s="24"/>
      <c r="AT132" s="24"/>
      <c r="AU132" s="24"/>
    </row>
    <row r="133" spans="1:47">
      <c r="A133" s="15">
        <v>127</v>
      </c>
      <c r="B133" s="16" t="s">
        <v>129</v>
      </c>
      <c r="C133" s="17" t="s">
        <v>36</v>
      </c>
      <c r="D133" s="19" t="s">
        <v>481</v>
      </c>
      <c r="E133" s="15" t="s">
        <v>174</v>
      </c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 t="s">
        <v>446</v>
      </c>
      <c r="AG133" s="24"/>
      <c r="AH133" s="33"/>
      <c r="AI133" s="24"/>
      <c r="AJ133" s="24"/>
      <c r="AK133" s="24"/>
      <c r="AL133" s="24"/>
      <c r="AM133" s="40"/>
      <c r="AN133" s="24"/>
      <c r="AO133" s="24"/>
      <c r="AP133" s="24"/>
      <c r="AQ133" s="24"/>
      <c r="AR133" s="36"/>
      <c r="AS133" s="24"/>
      <c r="AT133" s="24"/>
      <c r="AU133" s="24"/>
    </row>
    <row r="134" spans="1:47">
      <c r="A134" s="15">
        <v>128</v>
      </c>
      <c r="B134" s="16" t="s">
        <v>129</v>
      </c>
      <c r="C134" s="17" t="s">
        <v>37</v>
      </c>
      <c r="D134" s="19" t="s">
        <v>404</v>
      </c>
      <c r="E134" s="15" t="s">
        <v>174</v>
      </c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 t="s">
        <v>446</v>
      </c>
      <c r="AG134" s="24"/>
      <c r="AH134" s="33"/>
      <c r="AI134" s="24"/>
      <c r="AJ134" s="24"/>
      <c r="AK134" s="24"/>
      <c r="AL134" s="24"/>
      <c r="AM134" s="40"/>
      <c r="AN134" s="24"/>
      <c r="AO134" s="24"/>
      <c r="AP134" s="24"/>
      <c r="AQ134" s="24"/>
      <c r="AR134" s="36"/>
      <c r="AS134" s="24"/>
      <c r="AT134" s="24"/>
      <c r="AU134" s="24"/>
    </row>
    <row r="135" spans="1:47">
      <c r="A135" s="15">
        <v>129</v>
      </c>
      <c r="B135" s="16" t="s">
        <v>165</v>
      </c>
      <c r="C135" s="28" t="s">
        <v>99</v>
      </c>
      <c r="D135" s="31" t="s">
        <v>213</v>
      </c>
      <c r="E135" s="15" t="s">
        <v>166</v>
      </c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 t="s">
        <v>450</v>
      </c>
      <c r="AG135" s="24"/>
      <c r="AH135" s="33"/>
      <c r="AI135" s="24" t="s">
        <v>324</v>
      </c>
      <c r="AJ135" s="24" t="s">
        <v>323</v>
      </c>
      <c r="AK135" s="24" t="s">
        <v>323</v>
      </c>
      <c r="AL135" s="24"/>
      <c r="AM135" s="40" t="s">
        <v>325</v>
      </c>
      <c r="AN135" s="24"/>
      <c r="AO135" s="24" t="s">
        <v>324</v>
      </c>
      <c r="AP135" s="24" t="s">
        <v>324</v>
      </c>
      <c r="AQ135" s="24"/>
      <c r="AR135" s="36"/>
      <c r="AS135" s="24"/>
      <c r="AT135" s="24"/>
      <c r="AU135" s="24" t="s">
        <v>324</v>
      </c>
    </row>
    <row r="136" spans="1:47">
      <c r="A136" s="15">
        <v>130</v>
      </c>
      <c r="B136" s="16" t="s">
        <v>165</v>
      </c>
      <c r="C136" s="17" t="s">
        <v>108</v>
      </c>
      <c r="D136" s="19" t="s">
        <v>362</v>
      </c>
      <c r="E136" s="15" t="s">
        <v>171</v>
      </c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 t="s">
        <v>444</v>
      </c>
      <c r="AG136" s="24"/>
      <c r="AH136" s="33"/>
      <c r="AI136" s="24"/>
      <c r="AJ136" s="24"/>
      <c r="AK136" s="24" t="s">
        <v>324</v>
      </c>
      <c r="AL136" s="24"/>
      <c r="AM136" s="40"/>
      <c r="AN136" s="24"/>
      <c r="AO136" s="24"/>
      <c r="AP136" s="24"/>
      <c r="AQ136" s="24" t="s">
        <v>324</v>
      </c>
      <c r="AR136" s="36"/>
      <c r="AS136" s="24"/>
      <c r="AT136" s="24"/>
      <c r="AU136" s="24"/>
    </row>
    <row r="137" spans="1:47">
      <c r="A137" s="15">
        <v>131</v>
      </c>
      <c r="B137" s="16" t="s">
        <v>165</v>
      </c>
      <c r="C137" s="17" t="s">
        <v>109</v>
      </c>
      <c r="D137" s="19" t="s">
        <v>363</v>
      </c>
      <c r="E137" s="15" t="s">
        <v>171</v>
      </c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 t="s">
        <v>451</v>
      </c>
      <c r="AG137" s="24"/>
      <c r="AH137" s="33"/>
      <c r="AI137" s="24"/>
      <c r="AJ137" s="24"/>
      <c r="AK137" s="24" t="s">
        <v>324</v>
      </c>
      <c r="AL137" s="24" t="s">
        <v>325</v>
      </c>
      <c r="AM137" s="40"/>
      <c r="AN137" s="24" t="s">
        <v>324</v>
      </c>
      <c r="AO137" s="24"/>
      <c r="AP137" s="24" t="s">
        <v>324</v>
      </c>
      <c r="AQ137" s="24"/>
      <c r="AR137" s="36"/>
      <c r="AS137" s="24"/>
      <c r="AT137" s="24" t="s">
        <v>324</v>
      </c>
      <c r="AU137" s="24"/>
    </row>
    <row r="138" spans="1:47">
      <c r="A138" s="15">
        <v>132</v>
      </c>
      <c r="B138" s="16" t="s">
        <v>165</v>
      </c>
      <c r="C138" s="17" t="s">
        <v>81</v>
      </c>
      <c r="D138" s="19" t="s">
        <v>400</v>
      </c>
      <c r="E138" s="15" t="s">
        <v>170</v>
      </c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 t="s">
        <v>444</v>
      </c>
      <c r="AG138" s="24"/>
      <c r="AH138" s="33"/>
      <c r="AI138" s="24"/>
      <c r="AJ138" s="24"/>
      <c r="AK138" s="24"/>
      <c r="AL138" s="24"/>
      <c r="AM138" s="40"/>
      <c r="AN138" s="24"/>
      <c r="AO138" s="24"/>
      <c r="AP138" s="24"/>
      <c r="AQ138" s="24"/>
      <c r="AR138" s="36"/>
      <c r="AS138" s="24"/>
      <c r="AT138" s="24"/>
      <c r="AU138" s="24"/>
    </row>
    <row r="139" spans="1:47">
      <c r="A139" s="15">
        <v>133</v>
      </c>
      <c r="B139" s="16" t="s">
        <v>130</v>
      </c>
      <c r="C139" s="20" t="s">
        <v>301</v>
      </c>
      <c r="D139" s="21" t="s">
        <v>215</v>
      </c>
      <c r="E139" s="15" t="s">
        <v>166</v>
      </c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 t="s">
        <v>445</v>
      </c>
      <c r="AG139" s="24" t="s">
        <v>326</v>
      </c>
      <c r="AH139" s="33"/>
      <c r="AI139" s="24"/>
      <c r="AJ139" s="24"/>
      <c r="AK139" s="24"/>
      <c r="AL139" s="24"/>
      <c r="AM139" s="40"/>
      <c r="AN139" s="24"/>
      <c r="AO139" s="24"/>
      <c r="AP139" s="24" t="s">
        <v>323</v>
      </c>
      <c r="AQ139" s="24"/>
      <c r="AR139" s="36"/>
      <c r="AS139" s="24"/>
      <c r="AT139" s="24"/>
      <c r="AU139" s="24"/>
    </row>
    <row r="140" spans="1:47">
      <c r="A140" s="15">
        <v>134</v>
      </c>
      <c r="B140" s="16" t="s">
        <v>130</v>
      </c>
      <c r="C140" s="20" t="s">
        <v>302</v>
      </c>
      <c r="D140" s="21" t="s">
        <v>209</v>
      </c>
      <c r="E140" s="15" t="s">
        <v>175</v>
      </c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 t="s">
        <v>450</v>
      </c>
      <c r="AG140" s="24" t="s">
        <v>325</v>
      </c>
      <c r="AH140" s="33"/>
      <c r="AI140" s="24" t="s">
        <v>324</v>
      </c>
      <c r="AJ140" s="24" t="s">
        <v>324</v>
      </c>
      <c r="AK140" s="24" t="s">
        <v>324</v>
      </c>
      <c r="AL140" s="24" t="s">
        <v>324</v>
      </c>
      <c r="AM140" s="40" t="s">
        <v>324</v>
      </c>
      <c r="AN140" s="24"/>
      <c r="AO140" s="24" t="s">
        <v>323</v>
      </c>
      <c r="AP140" s="24" t="s">
        <v>323</v>
      </c>
      <c r="AQ140" s="24"/>
      <c r="AR140" s="36"/>
      <c r="AS140" s="24" t="s">
        <v>325</v>
      </c>
      <c r="AT140" s="24"/>
      <c r="AU140" s="24" t="s">
        <v>323</v>
      </c>
    </row>
    <row r="141" spans="1:47">
      <c r="A141" s="15">
        <v>135</v>
      </c>
      <c r="B141" s="16" t="s">
        <v>130</v>
      </c>
      <c r="C141" s="20" t="s">
        <v>303</v>
      </c>
      <c r="D141" s="21" t="s">
        <v>207</v>
      </c>
      <c r="E141" s="15" t="s">
        <v>176</v>
      </c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 t="s">
        <v>451</v>
      </c>
      <c r="AG141" s="24" t="s">
        <v>325</v>
      </c>
      <c r="AH141" s="33"/>
      <c r="AI141" s="24" t="s">
        <v>324</v>
      </c>
      <c r="AJ141" s="24" t="s">
        <v>324</v>
      </c>
      <c r="AK141" s="24" t="s">
        <v>324</v>
      </c>
      <c r="AL141" s="24" t="s">
        <v>324</v>
      </c>
      <c r="AM141" s="40" t="s">
        <v>324</v>
      </c>
      <c r="AN141" s="24"/>
      <c r="AO141" s="24" t="s">
        <v>325</v>
      </c>
      <c r="AP141" s="24" t="s">
        <v>323</v>
      </c>
      <c r="AQ141" s="24"/>
      <c r="AR141" s="36"/>
      <c r="AS141" s="24" t="s">
        <v>325</v>
      </c>
      <c r="AT141" s="24"/>
      <c r="AU141" s="24" t="s">
        <v>325</v>
      </c>
    </row>
    <row r="142" spans="1:47">
      <c r="A142" s="15">
        <v>136</v>
      </c>
      <c r="B142" s="16" t="s">
        <v>130</v>
      </c>
      <c r="C142" s="17" t="s">
        <v>38</v>
      </c>
      <c r="D142" s="21" t="s">
        <v>272</v>
      </c>
      <c r="E142" s="15" t="s">
        <v>173</v>
      </c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 t="s">
        <v>447</v>
      </c>
      <c r="AG142" s="24"/>
      <c r="AH142" s="33"/>
      <c r="AI142" s="24"/>
      <c r="AJ142" s="24"/>
      <c r="AK142" s="24"/>
      <c r="AL142" s="24"/>
      <c r="AM142" s="40"/>
      <c r="AN142" s="24"/>
      <c r="AO142" s="24"/>
      <c r="AP142" s="24" t="s">
        <v>323</v>
      </c>
      <c r="AQ142" s="24"/>
      <c r="AR142" s="36"/>
      <c r="AS142" s="24"/>
      <c r="AT142" s="24"/>
      <c r="AU142" s="24"/>
    </row>
    <row r="143" spans="1:47">
      <c r="A143" s="15">
        <v>137</v>
      </c>
      <c r="B143" s="16" t="s">
        <v>130</v>
      </c>
      <c r="C143" s="17" t="s">
        <v>39</v>
      </c>
      <c r="D143" s="21" t="s">
        <v>216</v>
      </c>
      <c r="E143" s="15" t="s">
        <v>173</v>
      </c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 t="s">
        <v>448</v>
      </c>
      <c r="AG143" s="24"/>
      <c r="AH143" s="33"/>
      <c r="AI143" s="24" t="s">
        <v>323</v>
      </c>
      <c r="AJ143" s="24"/>
      <c r="AK143" s="24"/>
      <c r="AL143" s="24"/>
      <c r="AM143" s="40"/>
      <c r="AN143" s="24"/>
      <c r="AO143" s="24"/>
      <c r="AP143" s="24"/>
      <c r="AQ143" s="24"/>
      <c r="AR143" s="36"/>
      <c r="AS143" s="24"/>
      <c r="AT143" s="24"/>
      <c r="AU143" s="24"/>
    </row>
    <row r="144" spans="1:47" hidden="1">
      <c r="A144" s="15">
        <v>138</v>
      </c>
      <c r="B144" s="16" t="s">
        <v>136</v>
      </c>
      <c r="C144" s="35" t="s">
        <v>110</v>
      </c>
      <c r="D144" s="18">
        <v>157211601</v>
      </c>
      <c r="E144" s="15" t="s">
        <v>172</v>
      </c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  <c r="AH144" s="33"/>
      <c r="AI144" s="24"/>
      <c r="AJ144" s="24"/>
      <c r="AK144" s="24"/>
      <c r="AL144" s="24"/>
      <c r="AM144" s="40"/>
      <c r="AN144" s="24"/>
      <c r="AO144" s="24"/>
      <c r="AP144" s="24"/>
      <c r="AQ144" s="24"/>
      <c r="AR144" s="36"/>
      <c r="AS144" s="24"/>
      <c r="AT144" s="24"/>
      <c r="AU144" s="24"/>
    </row>
    <row r="145" spans="1:47" hidden="1">
      <c r="A145" s="15">
        <v>139</v>
      </c>
      <c r="B145" s="16" t="s">
        <v>136</v>
      </c>
      <c r="C145" s="35" t="s">
        <v>111</v>
      </c>
      <c r="D145" s="18">
        <v>157211701</v>
      </c>
      <c r="E145" s="15" t="s">
        <v>172</v>
      </c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  <c r="AH145" s="33"/>
      <c r="AI145" s="24"/>
      <c r="AJ145" s="24"/>
      <c r="AK145" s="24"/>
      <c r="AL145" s="24"/>
      <c r="AM145" s="40"/>
      <c r="AN145" s="24"/>
      <c r="AO145" s="24"/>
      <c r="AP145" s="24"/>
      <c r="AQ145" s="24"/>
      <c r="AR145" s="36"/>
      <c r="AS145" s="24"/>
      <c r="AT145" s="24"/>
      <c r="AU145" s="24"/>
    </row>
    <row r="146" spans="1:47" hidden="1">
      <c r="A146" s="43">
        <v>140</v>
      </c>
      <c r="B146" s="37" t="s">
        <v>137</v>
      </c>
      <c r="C146" s="35" t="s">
        <v>121</v>
      </c>
      <c r="D146" s="44">
        <v>143148201</v>
      </c>
      <c r="E146" s="15" t="s">
        <v>169</v>
      </c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24"/>
      <c r="AH146" s="33"/>
      <c r="AI146" s="24"/>
      <c r="AJ146" s="24"/>
      <c r="AK146" s="24"/>
      <c r="AL146" s="24"/>
      <c r="AM146" s="40"/>
      <c r="AN146" s="24"/>
      <c r="AO146" s="24"/>
      <c r="AP146" s="24"/>
      <c r="AQ146" s="24"/>
      <c r="AR146" s="36"/>
      <c r="AS146" s="24"/>
      <c r="AT146" s="24"/>
      <c r="AU146" s="24"/>
    </row>
    <row r="147" spans="1:47">
      <c r="A147" s="15">
        <v>141</v>
      </c>
      <c r="B147" s="16" t="s">
        <v>138</v>
      </c>
      <c r="C147" s="28" t="s">
        <v>122</v>
      </c>
      <c r="D147" s="18">
        <v>127813800</v>
      </c>
      <c r="E147" s="15" t="s">
        <v>169</v>
      </c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 t="s">
        <v>449</v>
      </c>
      <c r="AG147" s="24"/>
      <c r="AH147" s="33"/>
      <c r="AI147" s="24"/>
      <c r="AJ147" s="24"/>
      <c r="AK147" s="24"/>
      <c r="AL147" s="24"/>
      <c r="AM147" s="40" t="s">
        <v>323</v>
      </c>
      <c r="AN147" s="24"/>
      <c r="AO147" s="24"/>
      <c r="AP147" s="24"/>
      <c r="AQ147" s="24"/>
      <c r="AR147" s="36"/>
      <c r="AS147" s="24"/>
      <c r="AT147" s="24"/>
      <c r="AU147" s="24"/>
    </row>
    <row r="148" spans="1:47" hidden="1">
      <c r="A148" s="43">
        <v>142</v>
      </c>
      <c r="B148" s="37" t="s">
        <v>131</v>
      </c>
      <c r="C148" s="35" t="s">
        <v>53</v>
      </c>
      <c r="D148" s="44">
        <v>151034602</v>
      </c>
      <c r="E148" s="15" t="s">
        <v>169</v>
      </c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  <c r="AH148" s="33"/>
      <c r="AI148" s="24"/>
      <c r="AJ148" s="24"/>
      <c r="AK148" s="24"/>
      <c r="AL148" s="24"/>
      <c r="AM148" s="40"/>
      <c r="AN148" s="24"/>
      <c r="AO148" s="24"/>
      <c r="AP148" s="24"/>
      <c r="AQ148" s="24"/>
      <c r="AR148" s="36"/>
      <c r="AS148" s="24"/>
      <c r="AT148" s="24"/>
      <c r="AU148" s="24"/>
    </row>
    <row r="149" spans="1:47">
      <c r="A149" s="15">
        <v>143</v>
      </c>
      <c r="B149" s="16" t="s">
        <v>148</v>
      </c>
      <c r="C149" s="29" t="s">
        <v>147</v>
      </c>
      <c r="D149" s="21" t="s">
        <v>204</v>
      </c>
      <c r="E149" s="15" t="s">
        <v>166</v>
      </c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 t="s">
        <v>450</v>
      </c>
      <c r="AG149" s="24" t="s">
        <v>326</v>
      </c>
      <c r="AH149" s="33"/>
      <c r="AI149" s="24" t="s">
        <v>324</v>
      </c>
      <c r="AJ149" s="24" t="s">
        <v>324</v>
      </c>
      <c r="AK149" s="24" t="s">
        <v>324</v>
      </c>
      <c r="AL149" s="24"/>
      <c r="AM149" s="40"/>
      <c r="AN149" s="24"/>
      <c r="AO149" s="24" t="s">
        <v>324</v>
      </c>
      <c r="AP149" s="24"/>
      <c r="AQ149" s="24"/>
      <c r="AR149" s="36"/>
      <c r="AS149" s="24"/>
      <c r="AT149" s="24"/>
      <c r="AU149" s="24" t="s">
        <v>324</v>
      </c>
    </row>
    <row r="150" spans="1:47">
      <c r="A150" s="15">
        <v>144</v>
      </c>
      <c r="B150" s="16" t="s">
        <v>127</v>
      </c>
      <c r="C150" s="29" t="s">
        <v>27</v>
      </c>
      <c r="D150" s="34" t="s">
        <v>623</v>
      </c>
      <c r="E150" s="15" t="s">
        <v>167</v>
      </c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 t="s">
        <v>452</v>
      </c>
      <c r="AG150" s="24"/>
      <c r="AH150" s="33"/>
      <c r="AI150" s="24"/>
      <c r="AJ150" s="24"/>
      <c r="AK150" s="24"/>
      <c r="AL150" s="24"/>
      <c r="AM150" s="40"/>
      <c r="AN150" s="24"/>
      <c r="AO150" s="24"/>
      <c r="AP150" s="24"/>
      <c r="AQ150" s="24"/>
      <c r="AR150" s="36"/>
      <c r="AS150" s="24"/>
      <c r="AT150" s="24"/>
      <c r="AU150" s="24"/>
    </row>
    <row r="151" spans="1:47">
      <c r="A151" s="48">
        <v>145</v>
      </c>
      <c r="B151" s="49" t="s">
        <v>124</v>
      </c>
      <c r="C151" s="47" t="s">
        <v>397</v>
      </c>
      <c r="D151" s="50" t="s">
        <v>396</v>
      </c>
      <c r="E151" s="15" t="s">
        <v>166</v>
      </c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 t="s">
        <v>446</v>
      </c>
      <c r="AG151" s="24"/>
      <c r="AH151" s="33"/>
      <c r="AI151" s="24"/>
      <c r="AJ151" s="24"/>
      <c r="AK151" s="24"/>
      <c r="AL151" s="24"/>
      <c r="AM151" s="40"/>
      <c r="AN151" s="24"/>
      <c r="AO151" s="24"/>
      <c r="AP151" s="24"/>
      <c r="AQ151" s="24"/>
      <c r="AR151" s="36"/>
      <c r="AS151" s="24"/>
      <c r="AT151" s="24"/>
      <c r="AU151" s="24"/>
    </row>
    <row r="152" spans="1:47" hidden="1">
      <c r="A152" s="48">
        <v>145</v>
      </c>
      <c r="B152" s="49" t="s">
        <v>124</v>
      </c>
      <c r="C152" s="45" t="s">
        <v>11</v>
      </c>
      <c r="D152" s="46">
        <v>190002401</v>
      </c>
      <c r="E152" s="15" t="s">
        <v>166</v>
      </c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  <c r="AH152" s="33"/>
      <c r="AI152" s="24"/>
      <c r="AJ152" s="24"/>
      <c r="AK152" s="24"/>
      <c r="AL152" s="24"/>
      <c r="AM152" s="40"/>
      <c r="AN152" s="24"/>
      <c r="AO152" s="24"/>
      <c r="AP152" s="24"/>
      <c r="AQ152" s="24"/>
      <c r="AR152" s="36"/>
      <c r="AS152" s="24"/>
      <c r="AT152" s="24"/>
      <c r="AU152" s="24"/>
    </row>
    <row r="153" spans="1:47">
      <c r="A153" s="48">
        <v>146</v>
      </c>
      <c r="B153" s="49" t="s">
        <v>146</v>
      </c>
      <c r="C153" s="17" t="s">
        <v>145</v>
      </c>
      <c r="D153" s="21" t="s">
        <v>299</v>
      </c>
      <c r="E153" s="15" t="s">
        <v>167</v>
      </c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 t="s">
        <v>445</v>
      </c>
      <c r="AG153" s="24"/>
      <c r="AH153" s="33"/>
      <c r="AI153" s="24" t="s">
        <v>323</v>
      </c>
      <c r="AJ153" s="24" t="s">
        <v>323</v>
      </c>
      <c r="AK153" s="24" t="s">
        <v>323</v>
      </c>
      <c r="AL153" s="24"/>
      <c r="AM153" s="40" t="s">
        <v>325</v>
      </c>
      <c r="AN153" s="24"/>
      <c r="AO153" s="24" t="s">
        <v>325</v>
      </c>
      <c r="AP153" s="24" t="s">
        <v>324</v>
      </c>
      <c r="AQ153" s="24"/>
      <c r="AR153" s="36"/>
      <c r="AS153" s="24"/>
      <c r="AT153" s="24"/>
      <c r="AU153" s="24" t="s">
        <v>325</v>
      </c>
    </row>
    <row r="154" spans="1:47">
      <c r="A154" s="15">
        <v>147</v>
      </c>
      <c r="B154" s="16" t="s">
        <v>161</v>
      </c>
      <c r="C154" s="23" t="s">
        <v>160</v>
      </c>
      <c r="D154" s="21" t="s">
        <v>355</v>
      </c>
      <c r="E154" s="15" t="s">
        <v>177</v>
      </c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 t="s">
        <v>444</v>
      </c>
      <c r="AG154" s="24"/>
      <c r="AH154" s="33"/>
      <c r="AI154" s="24" t="s">
        <v>323</v>
      </c>
      <c r="AJ154" s="24"/>
      <c r="AK154" s="24" t="s">
        <v>325</v>
      </c>
      <c r="AL154" s="24" t="s">
        <v>323</v>
      </c>
      <c r="AM154" s="40"/>
      <c r="AN154" s="24"/>
      <c r="AO154" s="24"/>
      <c r="AP154" s="24"/>
      <c r="AQ154" s="24"/>
      <c r="AR154" s="36"/>
      <c r="AS154" s="24"/>
      <c r="AT154" s="24"/>
      <c r="AU154" s="24"/>
    </row>
    <row r="155" spans="1:47">
      <c r="A155" s="15">
        <v>148</v>
      </c>
      <c r="B155" s="16" t="s">
        <v>164</v>
      </c>
      <c r="C155" s="20" t="s">
        <v>163</v>
      </c>
      <c r="D155" s="19" t="s">
        <v>320</v>
      </c>
      <c r="E155" s="15" t="s">
        <v>169</v>
      </c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 t="s">
        <v>447</v>
      </c>
      <c r="AG155" s="24"/>
      <c r="AH155" s="33"/>
      <c r="AI155" s="24" t="s">
        <v>324</v>
      </c>
      <c r="AJ155" s="24" t="s">
        <v>324</v>
      </c>
      <c r="AK155" s="24" t="s">
        <v>324</v>
      </c>
      <c r="AL155" s="24" t="s">
        <v>324</v>
      </c>
      <c r="AM155" s="40" t="s">
        <v>325</v>
      </c>
      <c r="AN155" s="24" t="s">
        <v>324</v>
      </c>
      <c r="AO155" s="24" t="s">
        <v>324</v>
      </c>
      <c r="AP155" s="24" t="s">
        <v>324</v>
      </c>
      <c r="AQ155" s="24" t="s">
        <v>324</v>
      </c>
      <c r="AR155" s="36"/>
      <c r="AS155" s="24"/>
      <c r="AT155" s="24" t="s">
        <v>324</v>
      </c>
      <c r="AU155" s="24" t="s">
        <v>324</v>
      </c>
    </row>
  </sheetData>
  <autoFilter ref="A6:E155" xr:uid="{00000000-0009-0000-0000-000001000000}"/>
  <mergeCells count="1">
    <mergeCell ref="A4:E5"/>
  </mergeCells>
  <phoneticPr fontId="3" type="noConversion"/>
  <printOptions horizontalCentered="1"/>
  <pageMargins left="0" right="0.23622047244094491" top="0" bottom="0" header="0.31496062992125984" footer="0.31496062992125984"/>
  <pageSetup paperSize="9" scale="25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6:D24"/>
  <sheetViews>
    <sheetView topLeftCell="A3" workbookViewId="0">
      <selection activeCell="C6" sqref="C6:D24"/>
    </sheetView>
  </sheetViews>
  <sheetFormatPr defaultRowHeight="15"/>
  <cols>
    <col min="3" max="3" width="43.140625" customWidth="1"/>
    <col min="4" max="4" width="20.5703125" customWidth="1"/>
  </cols>
  <sheetData>
    <row r="6" spans="3:4">
      <c r="C6" s="17" t="s">
        <v>58</v>
      </c>
      <c r="D6" s="18">
        <v>184432201</v>
      </c>
    </row>
    <row r="7" spans="3:4">
      <c r="C7" s="17" t="s">
        <v>22</v>
      </c>
      <c r="D7" s="18">
        <v>186816600</v>
      </c>
    </row>
    <row r="8" spans="3:4">
      <c r="C8" s="17" t="s">
        <v>18</v>
      </c>
      <c r="D8" s="18">
        <v>189323201</v>
      </c>
    </row>
    <row r="9" spans="3:4">
      <c r="C9" s="17" t="s">
        <v>10</v>
      </c>
      <c r="D9" s="18">
        <v>189381401</v>
      </c>
    </row>
    <row r="10" spans="3:4">
      <c r="C10" s="17" t="s">
        <v>9</v>
      </c>
      <c r="D10" s="18">
        <v>187460004</v>
      </c>
    </row>
    <row r="11" spans="3:4">
      <c r="C11" s="17" t="s">
        <v>4</v>
      </c>
      <c r="D11" s="18">
        <v>189323103</v>
      </c>
    </row>
    <row r="12" spans="3:4">
      <c r="C12" s="17" t="s">
        <v>4</v>
      </c>
      <c r="D12" s="18">
        <v>189323105</v>
      </c>
    </row>
    <row r="13" spans="3:4">
      <c r="C13" s="17" t="s">
        <v>4</v>
      </c>
      <c r="D13" s="18">
        <v>189323104</v>
      </c>
    </row>
    <row r="14" spans="3:4">
      <c r="C14" s="17" t="s">
        <v>4</v>
      </c>
      <c r="D14" s="18">
        <v>189323101</v>
      </c>
    </row>
    <row r="15" spans="3:4">
      <c r="C15" s="17" t="s">
        <v>92</v>
      </c>
      <c r="D15" s="18">
        <v>180690102</v>
      </c>
    </row>
    <row r="16" spans="3:4">
      <c r="C16" s="28" t="s">
        <v>122</v>
      </c>
      <c r="D16" s="18">
        <v>127813800</v>
      </c>
    </row>
    <row r="17" spans="3:4">
      <c r="C17" s="17" t="s">
        <v>98</v>
      </c>
      <c r="D17" s="18">
        <v>179256801</v>
      </c>
    </row>
    <row r="18" spans="3:4">
      <c r="C18" s="25" t="s">
        <v>34</v>
      </c>
      <c r="D18" s="18">
        <v>184498304</v>
      </c>
    </row>
    <row r="19" spans="3:4">
      <c r="C19" s="29" t="s">
        <v>27</v>
      </c>
      <c r="D19" s="30">
        <v>188842801</v>
      </c>
    </row>
    <row r="20" spans="3:4">
      <c r="C20" s="17" t="s">
        <v>42</v>
      </c>
      <c r="D20" s="18">
        <v>187315200</v>
      </c>
    </row>
    <row r="21" spans="3:4">
      <c r="C21" s="20" t="s">
        <v>156</v>
      </c>
      <c r="D21" s="18">
        <v>190338701</v>
      </c>
    </row>
    <row r="22" spans="3:4">
      <c r="C22" s="42" t="s">
        <v>157</v>
      </c>
      <c r="D22" s="18">
        <v>191571400</v>
      </c>
    </row>
    <row r="23" spans="3:4">
      <c r="C23" s="17" t="s">
        <v>86</v>
      </c>
      <c r="D23" s="18">
        <v>181575402</v>
      </c>
    </row>
    <row r="24" spans="3:4">
      <c r="C24" s="17" t="s">
        <v>85</v>
      </c>
      <c r="D24" s="18">
        <v>181575502</v>
      </c>
    </row>
  </sheetData>
  <sortState xmlns:xlrd2="http://schemas.microsoft.com/office/spreadsheetml/2017/richdata2" ref="C6:D24">
    <sortCondition ref="C6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kanban</vt:lpstr>
      <vt:lpstr>part c-100%</vt:lpstr>
      <vt:lpstr>Sheet1</vt:lpstr>
      <vt:lpstr>kanban!Print_Area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2026-10-17T15:31:32Z</dcterms:modified>
</cp:coreProperties>
</file>